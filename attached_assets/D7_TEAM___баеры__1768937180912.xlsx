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у(январь)" sheetId="1" r:id="rId5"/>
    <sheet state="visible" name="Аргентина(январь)" sheetId="2" r:id="rId6"/>
    <sheet state="visible" name="Италия(январь)" sheetId="3" r:id="rId7"/>
    <sheet state="visible" name="Перу(декабрь)" sheetId="4" r:id="rId8"/>
    <sheet state="visible" name="Италия(декабрь)" sheetId="5" r:id="rId9"/>
    <sheet state="visible" name="Недели" sheetId="6" r:id="rId10"/>
    <sheet state="hidden" name="Перу(ноябрь)" sheetId="7" r:id="rId11"/>
    <sheet state="hidden" name="Италия" sheetId="8" r:id="rId12"/>
  </sheets>
  <definedNames/>
  <calcPr/>
</workbook>
</file>

<file path=xl/sharedStrings.xml><?xml version="1.0" encoding="utf-8"?>
<sst xmlns="http://schemas.openxmlformats.org/spreadsheetml/2006/main" count="313" uniqueCount="36">
  <si>
    <t>Desk1 - Camila 3</t>
  </si>
  <si>
    <t>Desk3 - Corie</t>
  </si>
  <si>
    <t>Crossgif (перу сейчас)</t>
  </si>
  <si>
    <t>Дата</t>
  </si>
  <si>
    <t>Общий спенд</t>
  </si>
  <si>
    <t>Подписки</t>
  </si>
  <si>
    <t>Диалоги</t>
  </si>
  <si>
    <t>ФД</t>
  </si>
  <si>
    <t>Цена подписки</t>
  </si>
  <si>
    <t>Цена ФД</t>
  </si>
  <si>
    <t>Конверсия %</t>
  </si>
  <si>
    <t>ЗП</t>
  </si>
  <si>
    <t>Общий спенд(вручную)</t>
  </si>
  <si>
    <t>Конверсия % Подписки/Диалоги</t>
  </si>
  <si>
    <t>ИТОГО:</t>
  </si>
  <si>
    <t>Cabrera (итальянец)</t>
  </si>
  <si>
    <t>Desk1 - основной</t>
  </si>
  <si>
    <t>Desk5 - torres</t>
  </si>
  <si>
    <t>Desk6 - Dirty</t>
  </si>
  <si>
    <t>Cabrera2</t>
  </si>
  <si>
    <t>Moms manager (сеньор)</t>
  </si>
  <si>
    <t>FBM</t>
  </si>
  <si>
    <t>Corie</t>
  </si>
  <si>
    <t>Перу</t>
  </si>
  <si>
    <t>01.12-07.12</t>
  </si>
  <si>
    <t>01.01-11.01</t>
  </si>
  <si>
    <t>08.12-14.12</t>
  </si>
  <si>
    <t>12.01-18.01</t>
  </si>
  <si>
    <t>15.12-21.12</t>
  </si>
  <si>
    <t>19.01-25.01</t>
  </si>
  <si>
    <t>22.12-28.12</t>
  </si>
  <si>
    <t>26.01-01.02</t>
  </si>
  <si>
    <t>Desk 1 / Camila 3</t>
  </si>
  <si>
    <t>Cabrera</t>
  </si>
  <si>
    <t>Италия</t>
  </si>
  <si>
    <t>Desk2 - основной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</si>
</sst>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[$$]#,##0.00"/>
    <numFmt numFmtId="166" formatCode="0.0"/>
    <numFmt numFmtId="167" formatCode="d.m"/>
  </numFmts>
  <fonts count="18">
    <font>
      <sz val="11.0"/>
      <color theme="1"/>
      <name val="Calibri"/>
      <scheme val="minor"/>
    </font>
    <font>
      <b/>
      <i/>
      <color rgb="FF000000"/>
      <name val="Calibri"/>
      <scheme val="minor"/>
    </font>
    <font/>
    <font>
      <color rgb="FF000000"/>
      <name val="Calibri"/>
      <scheme val="minor"/>
    </font>
    <font>
      <b/>
      <i/>
      <sz val="11.0"/>
      <color theme="1"/>
      <name val="Proxima Nova"/>
    </font>
    <font>
      <b/>
      <i/>
      <color theme="1"/>
      <name val="Calibri"/>
      <scheme val="minor"/>
    </font>
    <font>
      <color theme="1"/>
      <name val="Calibri"/>
      <scheme val="minor"/>
    </font>
    <font>
      <sz val="10.0"/>
      <color theme="1"/>
      <name val="JetBrains Mono"/>
    </font>
    <font>
      <sz val="11.0"/>
      <color theme="1"/>
      <name val="Calibri"/>
    </font>
    <font>
      <color theme="1"/>
      <name val="Arial"/>
    </font>
    <font>
      <sz val="11.0"/>
      <color theme="1"/>
      <name val="Nunito"/>
    </font>
    <font>
      <b/>
      <i/>
      <sz val="10.0"/>
      <color theme="1"/>
      <name val="JetBrains Mono"/>
    </font>
    <font>
      <b/>
      <color theme="1"/>
      <name val="Calibri"/>
      <scheme val="minor"/>
    </font>
    <font>
      <sz val="10.0"/>
      <color theme="1"/>
      <name val="Nunito"/>
    </font>
    <font>
      <sz val="11.0"/>
      <color theme="1"/>
      <name val="JetBrains Mono"/>
    </font>
    <font>
      <color rgb="FF434343"/>
      <name val="Roboto"/>
    </font>
    <font>
      <b/>
      <i/>
      <sz val="11.0"/>
      <color theme="1"/>
      <name val="Calibri"/>
    </font>
    <font>
      <sz val="11.0"/>
      <color theme="1"/>
      <name val="Proxima Nova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EF8E3"/>
        <bgColor rgb="FFFEF8E3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top" wrapText="1"/>
    </xf>
    <xf borderId="5" fillId="0" fontId="6" numFmtId="164" xfId="0" applyAlignment="1" applyBorder="1" applyFont="1" applyNumberFormat="1">
      <alignment readingOrder="0"/>
    </xf>
    <xf borderId="5" fillId="0" fontId="6" numFmtId="0" xfId="0" applyBorder="1" applyFont="1"/>
    <xf borderId="5" fillId="0" fontId="0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horizontal="right" readingOrder="0"/>
    </xf>
    <xf borderId="5" fillId="0" fontId="7" numFmtId="2" xfId="0" applyAlignment="1" applyBorder="1" applyFont="1" applyNumberFormat="1">
      <alignment horizontal="right"/>
    </xf>
    <xf borderId="5" fillId="0" fontId="6" numFmtId="2" xfId="0" applyBorder="1" applyFont="1" applyNumberFormat="1"/>
    <xf borderId="5" fillId="0" fontId="6" numFmtId="10" xfId="0" applyBorder="1" applyFont="1" applyNumberFormat="1"/>
    <xf borderId="1" fillId="0" fontId="6" numFmtId="2" xfId="0" applyBorder="1" applyFont="1" applyNumberFormat="1"/>
    <xf borderId="4" fillId="3" fontId="6" numFmtId="164" xfId="0" applyAlignment="1" applyBorder="1" applyFont="1" applyNumberFormat="1">
      <alignment readingOrder="0"/>
    </xf>
    <xf borderId="3" fillId="0" fontId="6" numFmtId="164" xfId="0" applyAlignment="1" applyBorder="1" applyFont="1" applyNumberFormat="1">
      <alignment readingOrder="0"/>
    </xf>
    <xf borderId="5" fillId="0" fontId="8" numFmtId="4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horizontal="right" readingOrder="0"/>
    </xf>
    <xf borderId="5" fillId="5" fontId="9" numFmtId="165" xfId="0" applyAlignment="1" applyBorder="1" applyFill="1" applyFont="1" applyNumberFormat="1">
      <alignment horizontal="center" vertical="bottom"/>
    </xf>
    <xf borderId="5" fillId="0" fontId="7" numFmtId="0" xfId="0" applyAlignment="1" applyBorder="1" applyFont="1">
      <alignment horizontal="right" readingOrder="0" vertical="bottom"/>
    </xf>
    <xf borderId="5" fillId="0" fontId="10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readingOrder="0"/>
    </xf>
    <xf borderId="1" fillId="0" fontId="6" numFmtId="166" xfId="0" applyBorder="1" applyFont="1" applyNumberFormat="1"/>
    <xf borderId="5" fillId="6" fontId="5" numFmtId="0" xfId="0" applyAlignment="1" applyBorder="1" applyFill="1" applyFont="1">
      <alignment horizontal="right" readingOrder="0"/>
    </xf>
    <xf borderId="5" fillId="6" fontId="5" numFmtId="0" xfId="0" applyBorder="1" applyFont="1"/>
    <xf borderId="5" fillId="6" fontId="11" numFmtId="2" xfId="0" applyAlignment="1" applyBorder="1" applyFont="1" applyNumberFormat="1">
      <alignment horizontal="right"/>
    </xf>
    <xf borderId="5" fillId="6" fontId="5" numFmtId="2" xfId="0" applyBorder="1" applyFont="1" applyNumberFormat="1"/>
    <xf borderId="5" fillId="6" fontId="5" numFmtId="10" xfId="0" applyBorder="1" applyFont="1" applyNumberFormat="1"/>
    <xf borderId="1" fillId="6" fontId="12" numFmtId="166" xfId="0" applyBorder="1" applyFont="1" applyNumberFormat="1"/>
    <xf borderId="4" fillId="3" fontId="5" numFmtId="0" xfId="0" applyAlignment="1" applyBorder="1" applyFont="1">
      <alignment horizontal="right" readingOrder="0"/>
    </xf>
    <xf borderId="3" fillId="6" fontId="5" numFmtId="0" xfId="0" applyAlignment="1" applyBorder="1" applyFont="1">
      <alignment horizontal="right" readingOrder="0"/>
    </xf>
    <xf borderId="0" fillId="3" fontId="6" numFmtId="0" xfId="0" applyFont="1"/>
    <xf borderId="0" fillId="3" fontId="1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 vertical="center"/>
    </xf>
    <xf borderId="0" fillId="3" fontId="4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horizontal="center" shrinkToFit="0" vertical="top" wrapText="1"/>
    </xf>
    <xf borderId="0" fillId="3" fontId="4" numFmtId="0" xfId="0" applyAlignment="1" applyFont="1">
      <alignment horizontal="center" readingOrder="0" shrinkToFit="0" vertical="top" wrapText="1"/>
    </xf>
    <xf borderId="0" fillId="3" fontId="5" numFmtId="0" xfId="0" applyAlignment="1" applyFont="1">
      <alignment horizontal="center" readingOrder="0"/>
    </xf>
    <xf borderId="5" fillId="0" fontId="8" numFmtId="4" xfId="0" applyAlignment="1" applyBorder="1" applyFont="1" applyNumberFormat="1">
      <alignment horizontal="right" readingOrder="0" vertical="bottom"/>
    </xf>
    <xf borderId="5" fillId="0" fontId="0" numFmtId="0" xfId="0" applyAlignment="1" applyBorder="1" applyFont="1">
      <alignment horizontal="right" readingOrder="0"/>
    </xf>
    <xf borderId="0" fillId="3" fontId="6" numFmtId="164" xfId="0" applyAlignment="1" applyFont="1" applyNumberFormat="1">
      <alignment readingOrder="0"/>
    </xf>
    <xf borderId="0" fillId="3" fontId="8" numFmtId="4" xfId="0" applyAlignment="1" applyFont="1" applyNumberFormat="1">
      <alignment horizontal="right" vertical="bottom"/>
    </xf>
    <xf borderId="0" fillId="3" fontId="7" numFmtId="0" xfId="0" applyAlignment="1" applyFont="1">
      <alignment horizontal="right" readingOrder="0"/>
    </xf>
    <xf borderId="0" fillId="3" fontId="7" numFmtId="2" xfId="0" applyAlignment="1" applyFont="1" applyNumberFormat="1">
      <alignment horizontal="right"/>
    </xf>
    <xf borderId="0" fillId="3" fontId="6" numFmtId="2" xfId="0" applyFont="1" applyNumberFormat="1"/>
    <xf borderId="0" fillId="3" fontId="6" numFmtId="10" xfId="0" applyFont="1" applyNumberFormat="1"/>
    <xf borderId="5" fillId="0" fontId="6" numFmtId="4" xfId="0" applyAlignment="1" applyBorder="1" applyFont="1" applyNumberFormat="1">
      <alignment readingOrder="0"/>
    </xf>
    <xf borderId="0" fillId="3" fontId="7" numFmtId="0" xfId="0" applyAlignment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0" fillId="3" fontId="6" numFmtId="0" xfId="0" applyAlignment="1" applyFont="1">
      <alignment readingOrder="0"/>
    </xf>
    <xf borderId="3" fillId="0" fontId="6" numFmtId="0" xfId="0" applyBorder="1" applyFont="1"/>
    <xf borderId="5" fillId="6" fontId="12" numFmtId="166" xfId="0" applyBorder="1" applyFont="1" applyNumberFormat="1"/>
    <xf borderId="0" fillId="3" fontId="5" numFmtId="0" xfId="0" applyAlignment="1" applyFont="1">
      <alignment horizontal="right" readingOrder="0"/>
    </xf>
    <xf borderId="0" fillId="3" fontId="5" numFmtId="0" xfId="0" applyFont="1"/>
    <xf borderId="0" fillId="3" fontId="11" numFmtId="2" xfId="0" applyAlignment="1" applyFont="1" applyNumberFormat="1">
      <alignment horizontal="right"/>
    </xf>
    <xf borderId="0" fillId="3" fontId="5" numFmtId="2" xfId="0" applyFont="1" applyNumberFormat="1"/>
    <xf borderId="0" fillId="3" fontId="5" numFmtId="10" xfId="0" applyFont="1" applyNumberFormat="1"/>
    <xf borderId="1" fillId="0" fontId="3" numFmtId="0" xfId="0" applyAlignment="1" applyBorder="1" applyFont="1">
      <alignment horizontal="center" readingOrder="0"/>
    </xf>
    <xf borderId="5" fillId="0" fontId="6" numFmtId="4" xfId="0" applyBorder="1" applyFont="1" applyNumberFormat="1"/>
    <xf borderId="5" fillId="0" fontId="13" numFmtId="4" xfId="0" applyAlignment="1" applyBorder="1" applyFont="1" applyNumberFormat="1">
      <alignment horizontal="right" vertical="bottom"/>
    </xf>
    <xf borderId="5" fillId="6" fontId="5" numFmtId="4" xfId="0" applyBorder="1" applyFont="1" applyNumberFormat="1"/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0" numFmtId="0" xfId="0" applyAlignment="1" applyBorder="1" applyFont="1">
      <alignment horizontal="center" vertical="bottom"/>
    </xf>
    <xf borderId="5" fillId="0" fontId="0" numFmtId="0" xfId="0" applyAlignment="1" applyBorder="1" applyFont="1">
      <alignment horizontal="center" readingOrder="0" vertical="bottom"/>
    </xf>
    <xf borderId="5" fillId="0" fontId="0" numFmtId="0" xfId="0" applyAlignment="1" applyBorder="1" applyFont="1">
      <alignment horizontal="center" readingOrder="0"/>
    </xf>
    <xf borderId="5" fillId="0" fontId="0" numFmtId="2" xfId="0" applyAlignment="1" applyBorder="1" applyFont="1" applyNumberFormat="1">
      <alignment horizontal="center"/>
    </xf>
    <xf borderId="5" fillId="0" fontId="7" numFmtId="0" xfId="0" applyAlignment="1" applyBorder="1" applyFont="1">
      <alignment horizontal="right"/>
    </xf>
    <xf borderId="5" fillId="0" fontId="7" numFmtId="0" xfId="0" applyAlignment="1" applyBorder="1" applyFont="1">
      <alignment horizontal="right" vertical="bottom"/>
    </xf>
    <xf borderId="5" fillId="0" fontId="6" numFmtId="2" xfId="0" applyAlignment="1" applyBorder="1" applyFont="1" applyNumberFormat="1">
      <alignment readingOrder="0"/>
    </xf>
    <xf borderId="5" fillId="0" fontId="0" numFmtId="0" xfId="0" applyAlignment="1" applyBorder="1" applyFont="1">
      <alignment horizontal="center"/>
    </xf>
    <xf borderId="5" fillId="0" fontId="0" numFmtId="0" xfId="0" applyAlignment="1" applyBorder="1" applyFont="1">
      <alignment horizontal="center" vertical="bottom"/>
    </xf>
    <xf borderId="5" fillId="0" fontId="0" numFmtId="166" xfId="0" applyAlignment="1" applyBorder="1" applyFont="1" applyNumberFormat="1">
      <alignment horizontal="center"/>
    </xf>
    <xf borderId="0" fillId="0" fontId="0" numFmtId="0" xfId="0" applyAlignment="1" applyFont="1">
      <alignment horizontal="center"/>
    </xf>
    <xf borderId="5" fillId="0" fontId="6" numFmtId="167" xfId="0" applyAlignment="1" applyBorder="1" applyFont="1" applyNumberFormat="1">
      <alignment readingOrder="0"/>
    </xf>
    <xf borderId="5" fillId="0" fontId="6" numFmtId="166" xfId="0" applyBorder="1" applyFont="1" applyNumberFormat="1"/>
    <xf borderId="1" fillId="0" fontId="3" numFmtId="4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 vertical="center"/>
    </xf>
    <xf borderId="5" fillId="0" fontId="14" numFmtId="165" xfId="0" applyAlignment="1" applyBorder="1" applyFont="1" applyNumberFormat="1">
      <alignment horizontal="right" vertical="bottom"/>
    </xf>
    <xf borderId="5" fillId="0" fontId="8" numFmtId="165" xfId="0" applyAlignment="1" applyBorder="1" applyFont="1" applyNumberFormat="1">
      <alignment horizontal="right" vertical="bottom"/>
    </xf>
    <xf borderId="5" fillId="7" fontId="15" numFmtId="0" xfId="0" applyAlignment="1" applyBorder="1" applyFill="1" applyFont="1">
      <alignment horizontal="right" shrinkToFit="0" wrapText="0"/>
    </xf>
    <xf borderId="5" fillId="7" fontId="15" numFmtId="0" xfId="0" applyAlignment="1" applyBorder="1" applyFont="1">
      <alignment horizontal="right" readingOrder="0" shrinkToFit="0" wrapText="0"/>
    </xf>
    <xf borderId="5" fillId="0" fontId="8" numFmtId="0" xfId="0" applyAlignment="1" applyBorder="1" applyFont="1">
      <alignment horizontal="right" vertical="bottom"/>
    </xf>
    <xf borderId="5" fillId="6" fontId="5" numFmtId="165" xfId="0" applyBorder="1" applyFont="1" applyNumberFormat="1"/>
    <xf borderId="1" fillId="8" fontId="1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vertical="bottom"/>
    </xf>
    <xf borderId="1" fillId="9" fontId="16" numFmtId="0" xfId="0" applyAlignment="1" applyBorder="1" applyFill="1" applyFont="1">
      <alignment horizontal="center"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shrinkToFit="0" vertical="top" wrapText="1"/>
    </xf>
    <xf borderId="5" fillId="0" fontId="16" numFmtId="0" xfId="0" applyAlignment="1" applyBorder="1" applyFont="1">
      <alignment horizontal="center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0" fontId="8" numFmtId="2" xfId="0" applyAlignment="1" applyBorder="1" applyFont="1" applyNumberFormat="1">
      <alignment horizontal="right" vertical="bottom"/>
    </xf>
    <xf borderId="5" fillId="0" fontId="8" numFmtId="2" xfId="0" applyAlignment="1" applyBorder="1" applyFont="1" applyNumberFormat="1">
      <alignment horizontal="center" vertical="bottom"/>
    </xf>
    <xf borderId="0" fillId="0" fontId="8" numFmtId="0" xfId="0" applyAlignment="1" applyFont="1">
      <alignment vertical="bottom"/>
    </xf>
    <xf borderId="5" fillId="0" fontId="3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horizontal="right" readingOrder="0"/>
    </xf>
    <xf borderId="5" fillId="0" fontId="17" numFmtId="0" xfId="0" applyAlignment="1" applyBorder="1" applyFont="1">
      <alignment horizontal="right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horizontal="right"/>
    </xf>
    <xf borderId="5" fillId="0" fontId="10" numFmtId="0" xfId="0" applyAlignment="1" applyBorder="1" applyFont="1">
      <alignment horizontal="right" vertical="bottom"/>
    </xf>
    <xf borderId="5" fillId="0" fontId="10" numFmtId="0" xfId="0" applyAlignment="1" applyBorder="1" applyFont="1">
      <alignment horizontal="center" readingOrder="0" vertical="bottom"/>
    </xf>
    <xf borderId="5" fillId="0" fontId="17" numFmtId="0" xfId="0" applyBorder="1" applyFont="1"/>
    <xf borderId="0" fillId="0" fontId="6" numFmtId="0" xfId="0" applyAlignment="1" applyFont="1">
      <alignment horizontal="right"/>
    </xf>
    <xf borderId="5" fillId="6" fontId="4" numFmtId="0" xfId="0" applyAlignment="1" applyBorder="1" applyFont="1">
      <alignment horizontal="right"/>
    </xf>
    <xf borderId="5" fillId="6" fontId="11" numFmtId="0" xfId="0" applyAlignment="1" applyBorder="1" applyFont="1">
      <alignment horizontal="right"/>
    </xf>
    <xf borderId="0" fillId="0" fontId="6" numFmtId="0" xfId="0" applyFont="1"/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Аргентина(январь)-style">
      <tableStyleElement dxfId="1" type="firstRowStripe"/>
      <tableStyleElement dxfId="2" type="secondRowStripe"/>
    </tableStyle>
    <tableStyle count="2" pivot="0" name="Италия(январь)-style">
      <tableStyleElement dxfId="1" type="firstRowStripe"/>
      <tableStyleElement dxfId="2" type="secondRowStripe"/>
    </tableStyle>
    <tableStyle count="2" pivot="0" name="Италия(декабрь)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9:F22" displayName="Table_1" name="Table_1" id="1">
  <tableColumns count="3">
    <tableColumn name="Column1" id="1"/>
    <tableColumn name="Column2" id="2"/>
    <tableColumn name="Column3" id="3"/>
  </tableColumns>
  <tableStyleInfo name="Аргентина(январь)-style" showColumnStripes="0" showFirstColumn="1" showLastColumn="1" showRowStripes="1"/>
</table>
</file>

<file path=xl/tables/table2.xml><?xml version="1.0" encoding="utf-8"?>
<table xmlns="http://schemas.openxmlformats.org/spreadsheetml/2006/main" headerRowCount="0" ref="D19:F22" displayName="Table_2" name="Table_2" id="2">
  <tableColumns count="3">
    <tableColumn name="Column1" id="1"/>
    <tableColumn name="Column2" id="2"/>
    <tableColumn name="Column3" id="3"/>
  </tableColumns>
  <tableStyleInfo name="Италия(январь)-style" showColumnStripes="0" showFirstColumn="1" showLastColumn="1" showRowStripes="1"/>
</table>
</file>

<file path=xl/tables/table3.xml><?xml version="1.0" encoding="utf-8"?>
<table xmlns="http://schemas.openxmlformats.org/spreadsheetml/2006/main" headerRowCount="0" ref="C19:E22" displayName="Table_3" name="Table_3" id="3">
  <tableColumns count="3">
    <tableColumn name="Column1" id="1"/>
    <tableColumn name="Column2" id="2"/>
    <tableColumn name="Column3" id="3"/>
  </tableColumns>
  <tableStyleInfo name="Италия(декабрь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6" max="6" width="18.14"/>
    <col customWidth="1" min="19" max="19" width="17.86"/>
  </cols>
  <sheetData>
    <row r="3">
      <c r="A3" s="1" t="s">
        <v>0</v>
      </c>
      <c r="B3" s="2"/>
      <c r="C3" s="2"/>
      <c r="D3" s="2"/>
      <c r="E3" s="2"/>
      <c r="F3" s="2"/>
      <c r="G3" s="2"/>
      <c r="H3" s="2"/>
      <c r="I3" s="3"/>
      <c r="J3" s="4"/>
      <c r="K3" s="5" t="s">
        <v>1</v>
      </c>
      <c r="L3" s="2"/>
      <c r="M3" s="2"/>
      <c r="N3" s="2"/>
      <c r="O3" s="2"/>
      <c r="P3" s="2"/>
      <c r="Q3" s="2"/>
      <c r="R3" s="2"/>
      <c r="S3" s="2"/>
      <c r="T3" s="3"/>
      <c r="V3" s="6"/>
      <c r="W3" s="6"/>
      <c r="X3" s="6"/>
      <c r="Y3" s="6"/>
      <c r="Z3" s="6"/>
      <c r="AA3" s="6"/>
      <c r="AB3" s="6"/>
      <c r="AC3" s="6"/>
      <c r="AD3" s="6"/>
    </row>
    <row r="4">
      <c r="A4" s="7" t="s">
        <v>2</v>
      </c>
      <c r="B4" s="2"/>
      <c r="C4" s="2"/>
      <c r="D4" s="2"/>
      <c r="E4" s="2"/>
      <c r="F4" s="2"/>
      <c r="G4" s="2"/>
      <c r="H4" s="2"/>
      <c r="I4" s="3"/>
      <c r="J4" s="4"/>
      <c r="K4" s="8" t="s">
        <v>2</v>
      </c>
      <c r="L4" s="2"/>
      <c r="M4" s="2"/>
      <c r="N4" s="2"/>
      <c r="O4" s="2"/>
      <c r="P4" s="2"/>
      <c r="Q4" s="2"/>
      <c r="R4" s="2"/>
      <c r="S4" s="2"/>
      <c r="T4" s="3"/>
      <c r="V4" s="6"/>
      <c r="W4" s="6"/>
      <c r="X4" s="6"/>
      <c r="Y4" s="6"/>
      <c r="Z4" s="6"/>
      <c r="AA4" s="6"/>
      <c r="AB4" s="6"/>
      <c r="AC4" s="6"/>
      <c r="AD4" s="6"/>
    </row>
    <row r="5">
      <c r="A5" s="9" t="s">
        <v>3</v>
      </c>
      <c r="B5" s="9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0" t="s">
        <v>10</v>
      </c>
      <c r="I5" s="12" t="s">
        <v>11</v>
      </c>
      <c r="J5" s="13"/>
      <c r="K5" s="14" t="s">
        <v>3</v>
      </c>
      <c r="L5" s="15" t="s">
        <v>12</v>
      </c>
      <c r="M5" s="9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1" t="s">
        <v>9</v>
      </c>
      <c r="S5" s="11" t="s">
        <v>13</v>
      </c>
      <c r="T5" s="16" t="s">
        <v>11</v>
      </c>
      <c r="V5" s="17"/>
      <c r="W5" s="17"/>
      <c r="X5" s="17"/>
      <c r="Y5" s="17"/>
      <c r="Z5" s="17"/>
      <c r="AA5" s="17"/>
      <c r="AB5" s="17"/>
      <c r="AC5" s="17"/>
      <c r="AD5" s="17"/>
    </row>
    <row r="6">
      <c r="A6" s="18">
        <v>46023.0</v>
      </c>
      <c r="B6" s="19">
        <f>IFERROR(__xludf.DUMMYFUNCTION("SUM(IMPORTRANGE(""1juk7449zs4jpNuI-o5X7XCsKjbIAXWPjQAMji4MmS2g"", ""1/2026!m5:m9""))"),0.0)</f>
        <v>0</v>
      </c>
      <c r="C6" s="20">
        <v>0.0</v>
      </c>
      <c r="D6" s="20">
        <v>0.0</v>
      </c>
      <c r="E6" s="21">
        <v>1.0</v>
      </c>
      <c r="F6" s="22">
        <f t="shared" ref="F6:F37" si="1">IFERROR(B6/C6, 0)</f>
        <v>0</v>
      </c>
      <c r="G6" s="23">
        <f t="shared" ref="G6:G37" si="2">IFERROR(B6/E6, 0)</f>
        <v>0</v>
      </c>
      <c r="H6" s="24">
        <f t="shared" ref="H6:H37" si="3">IFERROR(D6/C6, 0)</f>
        <v>0</v>
      </c>
      <c r="I6" s="25">
        <f t="shared" ref="I6:I37" si="4">B6*0.12</f>
        <v>0</v>
      </c>
      <c r="J6" s="26"/>
      <c r="K6" s="27">
        <v>46023.0</v>
      </c>
      <c r="L6" s="28" t="str">
        <f>IFERROR(__xludf.DUMMYFUNCTION("(IMPORTRANGE(""1INH19ghCw782QEanlWDCs5aT59ol_teq6F7nat1cE_0"", ""Январь!b2:b32""))"),"")</f>
        <v/>
      </c>
      <c r="M6" s="19">
        <f>IFERROR(__xludf.DUMMYFUNCTION("SUM(IMPORTRANGE(""1juk7449zs4jpNuI-o5X7XCsKjbIAXWPjQAMji4MmS2g"", ""1/2026!m10:m19""))"),0.0)</f>
        <v>0</v>
      </c>
      <c r="N6" s="29"/>
      <c r="O6" s="29">
        <v>6.0</v>
      </c>
      <c r="P6" s="29">
        <v>1.0</v>
      </c>
      <c r="Q6" s="22">
        <f t="shared" ref="Q6:Q37" si="5">IFERROR(M6/N6, 0)</f>
        <v>0</v>
      </c>
      <c r="R6" s="23">
        <f t="shared" ref="R6:R37" si="6">IFERROR(M6/P6, 0)</f>
        <v>0</v>
      </c>
      <c r="S6" s="24">
        <f>IFERROR(O6/N6, 0)*100</f>
        <v>0</v>
      </c>
      <c r="T6" s="23">
        <f t="shared" ref="T6:T37" si="7">M6*0.1</f>
        <v>0</v>
      </c>
    </row>
    <row r="7">
      <c r="A7" s="18">
        <v>46024.0</v>
      </c>
      <c r="B7" s="19">
        <f>IFERROR(__xludf.DUMMYFUNCTION("SUM(IMPORTRANGE(""1juk7449zs4jpNuI-o5X7XCsKjbIAXWPjQAMji4MmS2g"", ""1/2026!n5:n9""))"),0.0)</f>
        <v>0</v>
      </c>
      <c r="C7" s="21">
        <v>0.0</v>
      </c>
      <c r="D7" s="21">
        <v>1.0</v>
      </c>
      <c r="E7" s="21">
        <v>0.0</v>
      </c>
      <c r="F7" s="22">
        <f t="shared" si="1"/>
        <v>0</v>
      </c>
      <c r="G7" s="23">
        <f t="shared" si="2"/>
        <v>0</v>
      </c>
      <c r="H7" s="24">
        <f t="shared" si="3"/>
        <v>0</v>
      </c>
      <c r="I7" s="25">
        <f t="shared" si="4"/>
        <v>0</v>
      </c>
      <c r="J7" s="26"/>
      <c r="K7" s="27">
        <v>46024.0</v>
      </c>
      <c r="L7" s="19"/>
      <c r="M7" s="19">
        <f>IFERROR(__xludf.DUMMYFUNCTION("SUM(IMPORTRANGE(""1juk7449zs4jpNuI-o5X7XCsKjbIAXWPjQAMji4MmS2g"", ""1/2026!n10:n19""))"),0.0)</f>
        <v>0</v>
      </c>
      <c r="N7" s="29">
        <v>1.0</v>
      </c>
      <c r="O7" s="29">
        <v>3.0</v>
      </c>
      <c r="P7" s="29">
        <v>2.0</v>
      </c>
      <c r="Q7" s="22">
        <f t="shared" si="5"/>
        <v>0</v>
      </c>
      <c r="R7" s="23">
        <f t="shared" si="6"/>
        <v>0</v>
      </c>
      <c r="S7" s="24">
        <f t="shared" ref="S7:S37" si="8">IFERROR(O7/N7, 0)</f>
        <v>3</v>
      </c>
      <c r="T7" s="23">
        <f t="shared" si="7"/>
        <v>0</v>
      </c>
      <c r="Z7" s="30"/>
    </row>
    <row r="8">
      <c r="A8" s="18">
        <v>46025.0</v>
      </c>
      <c r="B8" s="19">
        <f>IFERROR(__xludf.DUMMYFUNCTION("SUM(IMPORTRANGE(""1juk7449zs4jpNuI-o5X7XCsKjbIAXWPjQAMji4MmS2g"", ""1/2026!o5:p9""))"),0.0)</f>
        <v>0</v>
      </c>
      <c r="C8" s="21">
        <v>0.0</v>
      </c>
      <c r="D8" s="21">
        <v>0.0</v>
      </c>
      <c r="E8" s="21">
        <v>0.0</v>
      </c>
      <c r="F8" s="22">
        <f t="shared" si="1"/>
        <v>0</v>
      </c>
      <c r="G8" s="23">
        <f t="shared" si="2"/>
        <v>0</v>
      </c>
      <c r="H8" s="24">
        <f t="shared" si="3"/>
        <v>0</v>
      </c>
      <c r="I8" s="25">
        <f t="shared" si="4"/>
        <v>0</v>
      </c>
      <c r="J8" s="26"/>
      <c r="K8" s="27">
        <v>46025.0</v>
      </c>
      <c r="L8" s="19">
        <f>IFERROR(__xludf.DUMMYFUNCTION("""COMPUTED_VALUE"""),369.21)</f>
        <v>369.21</v>
      </c>
      <c r="M8" s="19">
        <f>IFERROR(__xludf.DUMMYFUNCTION("SUM(IMPORTRANGE(""1juk7449zs4jpNuI-o5X7XCsKjbIAXWPjQAMji4MmS2g"", ""1/2026!o10:o19""))"),368.08)</f>
        <v>368.08</v>
      </c>
      <c r="N8" s="31">
        <v>436.0</v>
      </c>
      <c r="O8" s="31">
        <v>174.0</v>
      </c>
      <c r="P8" s="31">
        <v>6.0</v>
      </c>
      <c r="Q8" s="22">
        <f t="shared" si="5"/>
        <v>0.8442201835</v>
      </c>
      <c r="R8" s="23">
        <f t="shared" si="6"/>
        <v>61.34666667</v>
      </c>
      <c r="S8" s="24">
        <f t="shared" si="8"/>
        <v>0.3990825688</v>
      </c>
      <c r="T8" s="23">
        <f t="shared" si="7"/>
        <v>36.808</v>
      </c>
      <c r="Z8" s="30"/>
    </row>
    <row r="9">
      <c r="A9" s="18">
        <v>46026.0</v>
      </c>
      <c r="B9" s="19">
        <f>IFERROR(__xludf.DUMMYFUNCTION("SUM(IMPORTRANGE(""1juk7449zs4jpNuI-o5X7XCsKjbIAXWPjQAMji4MmS2g"", ""1/2026!q5:q9""))"),0.0)</f>
        <v>0</v>
      </c>
      <c r="C9" s="21">
        <v>0.0</v>
      </c>
      <c r="D9" s="21">
        <v>2.0</v>
      </c>
      <c r="E9" s="21">
        <v>0.0</v>
      </c>
      <c r="F9" s="22">
        <f t="shared" si="1"/>
        <v>0</v>
      </c>
      <c r="G9" s="23">
        <f t="shared" si="2"/>
        <v>0</v>
      </c>
      <c r="H9" s="24">
        <f t="shared" si="3"/>
        <v>0</v>
      </c>
      <c r="I9" s="25">
        <f t="shared" si="4"/>
        <v>0</v>
      </c>
      <c r="J9" s="26"/>
      <c r="K9" s="27">
        <v>46026.0</v>
      </c>
      <c r="L9" s="19">
        <f>IFERROR(__xludf.DUMMYFUNCTION("""COMPUTED_VALUE"""),289.76)</f>
        <v>289.76</v>
      </c>
      <c r="M9" s="19">
        <f>IFERROR(__xludf.DUMMYFUNCTION("SUM(IMPORTRANGE(""1juk7449zs4jpNuI-o5X7XCsKjbIAXWPjQAMji4MmS2g"", ""1/2026!p10:p19""))"),291.0)</f>
        <v>291</v>
      </c>
      <c r="N9" s="31">
        <v>343.0</v>
      </c>
      <c r="O9" s="31">
        <v>145.0</v>
      </c>
      <c r="P9" s="31">
        <v>4.0</v>
      </c>
      <c r="Q9" s="22">
        <f t="shared" si="5"/>
        <v>0.8483965015</v>
      </c>
      <c r="R9" s="23">
        <f t="shared" si="6"/>
        <v>72.75</v>
      </c>
      <c r="S9" s="24">
        <f t="shared" si="8"/>
        <v>0.4227405248</v>
      </c>
      <c r="T9" s="23">
        <f t="shared" si="7"/>
        <v>29.1</v>
      </c>
      <c r="Z9" s="30"/>
    </row>
    <row r="10">
      <c r="A10" s="18">
        <v>46027.0</v>
      </c>
      <c r="B10" s="19">
        <f>IFERROR(__xludf.DUMMYFUNCTION("SUM(IMPORTRANGE(""1juk7449zs4jpNuI-o5X7XCsKjbIAXWPjQAMji4MmS2g"", ""1/2026!r5:r9""))"),0.0)</f>
        <v>0</v>
      </c>
      <c r="C10" s="21"/>
      <c r="D10" s="21">
        <v>2.0</v>
      </c>
      <c r="E10" s="21"/>
      <c r="F10" s="22">
        <f t="shared" si="1"/>
        <v>0</v>
      </c>
      <c r="G10" s="23">
        <f t="shared" si="2"/>
        <v>0</v>
      </c>
      <c r="H10" s="24">
        <f t="shared" si="3"/>
        <v>0</v>
      </c>
      <c r="I10" s="25">
        <f t="shared" si="4"/>
        <v>0</v>
      </c>
      <c r="J10" s="26"/>
      <c r="K10" s="27">
        <v>46027.0</v>
      </c>
      <c r="L10" s="19">
        <f>IFERROR(__xludf.DUMMYFUNCTION("""COMPUTED_VALUE"""),327.57)</f>
        <v>327.57</v>
      </c>
      <c r="M10" s="19">
        <f>IFERROR(__xludf.DUMMYFUNCTION("SUM(IMPORTRANGE(""1juk7449zs4jpNuI-o5X7XCsKjbIAXWPjQAMji4MmS2g"", ""1/2026!q10:q19""))"),327.55)</f>
        <v>327.55</v>
      </c>
      <c r="N10" s="31">
        <v>432.0</v>
      </c>
      <c r="O10" s="31">
        <v>207.0</v>
      </c>
      <c r="P10" s="31">
        <v>7.0</v>
      </c>
      <c r="Q10" s="22">
        <f t="shared" si="5"/>
        <v>0.7582175926</v>
      </c>
      <c r="R10" s="23">
        <f t="shared" si="6"/>
        <v>46.79285714</v>
      </c>
      <c r="S10" s="24">
        <f t="shared" si="8"/>
        <v>0.4791666667</v>
      </c>
      <c r="T10" s="23">
        <f t="shared" si="7"/>
        <v>32.755</v>
      </c>
      <c r="Z10" s="30"/>
    </row>
    <row r="11">
      <c r="A11" s="18">
        <v>46028.0</v>
      </c>
      <c r="B11" s="32">
        <v>0.0</v>
      </c>
      <c r="C11" s="33">
        <v>0.0</v>
      </c>
      <c r="D11" s="33">
        <v>2.0</v>
      </c>
      <c r="E11" s="33">
        <v>0.0</v>
      </c>
      <c r="F11" s="22">
        <f t="shared" si="1"/>
        <v>0</v>
      </c>
      <c r="G11" s="23">
        <f t="shared" si="2"/>
        <v>0</v>
      </c>
      <c r="H11" s="24">
        <f t="shared" si="3"/>
        <v>0</v>
      </c>
      <c r="I11" s="25">
        <f t="shared" si="4"/>
        <v>0</v>
      </c>
      <c r="J11" s="26"/>
      <c r="K11" s="27">
        <v>46028.0</v>
      </c>
      <c r="L11" s="19">
        <f>IFERROR(__xludf.DUMMYFUNCTION("""COMPUTED_VALUE"""),394.23)</f>
        <v>394.23</v>
      </c>
      <c r="M11" s="19">
        <f>IFERROR(__xludf.DUMMYFUNCTION("SUM(IMPORTRANGE(""1juk7449zs4jpNuI-o5X7XCsKjbIAXWPjQAMji4MmS2g"", ""1/2026!r10:r19""))"),393.40000000000003)</f>
        <v>393.4</v>
      </c>
      <c r="N11" s="33">
        <v>457.0</v>
      </c>
      <c r="O11" s="33">
        <v>222.0</v>
      </c>
      <c r="P11" s="33">
        <v>7.0</v>
      </c>
      <c r="Q11" s="22">
        <f t="shared" si="5"/>
        <v>0.8608315098</v>
      </c>
      <c r="R11" s="23">
        <f t="shared" si="6"/>
        <v>56.2</v>
      </c>
      <c r="S11" s="24">
        <f t="shared" si="8"/>
        <v>0.4857768053</v>
      </c>
      <c r="T11" s="23">
        <f t="shared" si="7"/>
        <v>39.34</v>
      </c>
      <c r="Z11" s="30"/>
    </row>
    <row r="12">
      <c r="A12" s="18">
        <v>46029.0</v>
      </c>
      <c r="B12" s="33">
        <v>0.0</v>
      </c>
      <c r="C12" s="33">
        <v>0.0</v>
      </c>
      <c r="D12" s="33">
        <v>2.0</v>
      </c>
      <c r="E12" s="33">
        <v>0.0</v>
      </c>
      <c r="F12" s="22">
        <f t="shared" si="1"/>
        <v>0</v>
      </c>
      <c r="G12" s="23">
        <f t="shared" si="2"/>
        <v>0</v>
      </c>
      <c r="H12" s="24">
        <f t="shared" si="3"/>
        <v>0</v>
      </c>
      <c r="I12" s="25">
        <f t="shared" si="4"/>
        <v>0</v>
      </c>
      <c r="J12" s="26"/>
      <c r="K12" s="27">
        <v>46029.0</v>
      </c>
      <c r="L12" s="19">
        <f>IFERROR(__xludf.DUMMYFUNCTION("""COMPUTED_VALUE"""),357.8)</f>
        <v>357.8</v>
      </c>
      <c r="M12" s="19">
        <f>IFERROR(__xludf.DUMMYFUNCTION("SUM(IMPORTRANGE(""1juk7449zs4jpNuI-o5X7XCsKjbIAXWPjQAMji4MmS2g"", ""1/2026!s10:s19""))"),346.96)</f>
        <v>346.96</v>
      </c>
      <c r="N12" s="33">
        <v>362.0</v>
      </c>
      <c r="O12" s="33">
        <v>163.0</v>
      </c>
      <c r="P12" s="33">
        <v>8.0</v>
      </c>
      <c r="Q12" s="22">
        <f t="shared" si="5"/>
        <v>0.9584530387</v>
      </c>
      <c r="R12" s="23">
        <f t="shared" si="6"/>
        <v>43.37</v>
      </c>
      <c r="S12" s="24">
        <f t="shared" si="8"/>
        <v>0.4502762431</v>
      </c>
      <c r="T12" s="23">
        <f t="shared" si="7"/>
        <v>34.696</v>
      </c>
      <c r="Z12" s="30"/>
    </row>
    <row r="13">
      <c r="A13" s="18">
        <v>46030.0</v>
      </c>
      <c r="B13" s="33"/>
      <c r="C13" s="33"/>
      <c r="D13" s="33"/>
      <c r="E13" s="33"/>
      <c r="F13" s="22">
        <f t="shared" si="1"/>
        <v>0</v>
      </c>
      <c r="G13" s="23">
        <f t="shared" si="2"/>
        <v>0</v>
      </c>
      <c r="H13" s="24">
        <f t="shared" si="3"/>
        <v>0</v>
      </c>
      <c r="I13" s="25">
        <f t="shared" si="4"/>
        <v>0</v>
      </c>
      <c r="J13" s="26"/>
      <c r="K13" s="27">
        <v>46030.0</v>
      </c>
      <c r="L13" s="19">
        <f>IFERROR(__xludf.DUMMYFUNCTION("""COMPUTED_VALUE"""),422.03)</f>
        <v>422.03</v>
      </c>
      <c r="M13" s="19">
        <f>IFERROR(__xludf.DUMMYFUNCTION("SUM(IMPORTRANGE(""1juk7449zs4jpNuI-o5X7XCsKjbIAXWPjQAMji4MmS2g"", ""1/2026!t10:t19""))"),422.06)</f>
        <v>422.06</v>
      </c>
      <c r="N13" s="33">
        <v>364.0</v>
      </c>
      <c r="O13" s="33">
        <v>190.0</v>
      </c>
      <c r="P13" s="33">
        <v>5.0</v>
      </c>
      <c r="Q13" s="22">
        <f t="shared" si="5"/>
        <v>1.159505495</v>
      </c>
      <c r="R13" s="23">
        <f t="shared" si="6"/>
        <v>84.412</v>
      </c>
      <c r="S13" s="24">
        <f t="shared" si="8"/>
        <v>0.521978022</v>
      </c>
      <c r="T13" s="23">
        <f t="shared" si="7"/>
        <v>42.206</v>
      </c>
      <c r="Z13" s="30"/>
    </row>
    <row r="14">
      <c r="A14" s="18">
        <v>46031.0</v>
      </c>
      <c r="B14" s="19"/>
      <c r="C14" s="33"/>
      <c r="D14" s="33"/>
      <c r="E14" s="33"/>
      <c r="F14" s="22">
        <f t="shared" si="1"/>
        <v>0</v>
      </c>
      <c r="G14" s="23">
        <f t="shared" si="2"/>
        <v>0</v>
      </c>
      <c r="H14" s="24">
        <f t="shared" si="3"/>
        <v>0</v>
      </c>
      <c r="I14" s="34">
        <f t="shared" si="4"/>
        <v>0</v>
      </c>
      <c r="J14" s="26"/>
      <c r="K14" s="27">
        <v>46031.0</v>
      </c>
      <c r="L14" s="19">
        <f>IFERROR(__xludf.DUMMYFUNCTION("""COMPUTED_VALUE"""),433.24)</f>
        <v>433.24</v>
      </c>
      <c r="M14" s="19">
        <f>IFERROR(__xludf.DUMMYFUNCTION("SUM(IMPORTRANGE(""1juk7449zs4jpNuI-o5X7XCsKjbIAXWPjQAMji4MmS2g"", ""1/2026!u10:u19""))"),433.29)</f>
        <v>433.29</v>
      </c>
      <c r="N14" s="33">
        <v>386.0</v>
      </c>
      <c r="O14" s="33">
        <v>201.0</v>
      </c>
      <c r="P14" s="33">
        <v>15.0</v>
      </c>
      <c r="Q14" s="22">
        <f t="shared" si="5"/>
        <v>1.122512953</v>
      </c>
      <c r="R14" s="23">
        <f t="shared" si="6"/>
        <v>28.886</v>
      </c>
      <c r="S14" s="24">
        <f t="shared" si="8"/>
        <v>0.5207253886</v>
      </c>
      <c r="T14" s="23">
        <f t="shared" si="7"/>
        <v>43.329</v>
      </c>
    </row>
    <row r="15">
      <c r="A15" s="18">
        <v>46032.0</v>
      </c>
      <c r="B15" s="19"/>
      <c r="C15" s="33"/>
      <c r="D15" s="33"/>
      <c r="E15" s="33"/>
      <c r="F15" s="22">
        <f t="shared" si="1"/>
        <v>0</v>
      </c>
      <c r="G15" s="23">
        <f t="shared" si="2"/>
        <v>0</v>
      </c>
      <c r="H15" s="24">
        <f t="shared" si="3"/>
        <v>0</v>
      </c>
      <c r="I15" s="34">
        <f t="shared" si="4"/>
        <v>0</v>
      </c>
      <c r="J15" s="26"/>
      <c r="K15" s="27">
        <v>46032.0</v>
      </c>
      <c r="L15" s="19">
        <f>IFERROR(__xludf.DUMMYFUNCTION("""COMPUTED_VALUE"""),505.71)</f>
        <v>505.71</v>
      </c>
      <c r="M15" s="19">
        <f>IFERROR(__xludf.DUMMYFUNCTION("SUM(IMPORTRANGE(""1juk7449zs4jpNuI-o5X7XCsKjbIAXWPjQAMji4MmS2g"", ""1/2026!v10:v19""))"),503.57000000000005)</f>
        <v>503.57</v>
      </c>
      <c r="N15" s="33">
        <v>361.0</v>
      </c>
      <c r="O15" s="33">
        <v>346.0</v>
      </c>
      <c r="P15" s="33">
        <v>8.0</v>
      </c>
      <c r="Q15" s="22">
        <f t="shared" si="5"/>
        <v>1.394930748</v>
      </c>
      <c r="R15" s="23">
        <f t="shared" si="6"/>
        <v>62.94625</v>
      </c>
      <c r="S15" s="24">
        <f t="shared" si="8"/>
        <v>0.9584487535</v>
      </c>
      <c r="T15" s="23">
        <f t="shared" si="7"/>
        <v>50.357</v>
      </c>
    </row>
    <row r="16">
      <c r="A16" s="18">
        <v>46033.0</v>
      </c>
      <c r="B16" s="19"/>
      <c r="C16" s="33"/>
      <c r="D16" s="33"/>
      <c r="E16" s="33"/>
      <c r="F16" s="22">
        <f t="shared" si="1"/>
        <v>0</v>
      </c>
      <c r="G16" s="23">
        <f t="shared" si="2"/>
        <v>0</v>
      </c>
      <c r="H16" s="24">
        <f t="shared" si="3"/>
        <v>0</v>
      </c>
      <c r="I16" s="34">
        <f t="shared" si="4"/>
        <v>0</v>
      </c>
      <c r="J16" s="26"/>
      <c r="K16" s="27">
        <v>46033.0</v>
      </c>
      <c r="L16" s="19">
        <f>IFERROR(__xludf.DUMMYFUNCTION("""COMPUTED_VALUE"""),378.45)</f>
        <v>378.45</v>
      </c>
      <c r="M16" s="19">
        <f>IFERROR(__xludf.DUMMYFUNCTION("SUM(IMPORTRANGE(""1juk7449zs4jpNuI-o5X7XCsKjbIAXWPjQAMji4MmS2g"", ""1/2026!w10:w19""))"),378.4100000000001)</f>
        <v>378.41</v>
      </c>
      <c r="N16" s="33">
        <v>346.0</v>
      </c>
      <c r="O16" s="33">
        <v>178.0</v>
      </c>
      <c r="P16" s="33">
        <v>10.0</v>
      </c>
      <c r="Q16" s="22">
        <f t="shared" si="5"/>
        <v>1.09367052</v>
      </c>
      <c r="R16" s="23">
        <f t="shared" si="6"/>
        <v>37.841</v>
      </c>
      <c r="S16" s="24">
        <f t="shared" si="8"/>
        <v>0.5144508671</v>
      </c>
      <c r="T16" s="23">
        <f t="shared" si="7"/>
        <v>37.841</v>
      </c>
    </row>
    <row r="17">
      <c r="A17" s="18">
        <v>46034.0</v>
      </c>
      <c r="B17" s="19"/>
      <c r="C17" s="33"/>
      <c r="D17" s="33"/>
      <c r="E17" s="33"/>
      <c r="F17" s="22">
        <f t="shared" si="1"/>
        <v>0</v>
      </c>
      <c r="G17" s="23">
        <f t="shared" si="2"/>
        <v>0</v>
      </c>
      <c r="H17" s="24">
        <f t="shared" si="3"/>
        <v>0</v>
      </c>
      <c r="I17" s="34">
        <f t="shared" si="4"/>
        <v>0</v>
      </c>
      <c r="J17" s="26"/>
      <c r="K17" s="27">
        <v>46034.0</v>
      </c>
      <c r="L17" s="19">
        <f>IFERROR(__xludf.DUMMYFUNCTION("""COMPUTED_VALUE"""),452.18)</f>
        <v>452.18</v>
      </c>
      <c r="M17" s="19">
        <f>IFERROR(__xludf.DUMMYFUNCTION("SUM(IMPORTRANGE(""1juk7449zs4jpNuI-o5X7XCsKjbIAXWPjQAMji4MmS2g"", ""1/2026!x10:x19""))"),454.23)</f>
        <v>454.23</v>
      </c>
      <c r="N17" s="33">
        <v>421.0</v>
      </c>
      <c r="O17" s="33">
        <v>186.0</v>
      </c>
      <c r="P17" s="33">
        <v>3.0</v>
      </c>
      <c r="Q17" s="22">
        <f t="shared" si="5"/>
        <v>1.078931116</v>
      </c>
      <c r="R17" s="23">
        <f t="shared" si="6"/>
        <v>151.41</v>
      </c>
      <c r="S17" s="24">
        <f t="shared" si="8"/>
        <v>0.4418052257</v>
      </c>
      <c r="T17" s="23">
        <f t="shared" si="7"/>
        <v>45.423</v>
      </c>
    </row>
    <row r="18">
      <c r="A18" s="18">
        <v>46035.0</v>
      </c>
      <c r="B18" s="19"/>
      <c r="C18" s="33"/>
      <c r="D18" s="33"/>
      <c r="E18" s="33"/>
      <c r="F18" s="22">
        <f t="shared" si="1"/>
        <v>0</v>
      </c>
      <c r="G18" s="23">
        <f t="shared" si="2"/>
        <v>0</v>
      </c>
      <c r="H18" s="24">
        <f t="shared" si="3"/>
        <v>0</v>
      </c>
      <c r="I18" s="34">
        <f t="shared" si="4"/>
        <v>0</v>
      </c>
      <c r="J18" s="26"/>
      <c r="K18" s="27">
        <v>46035.0</v>
      </c>
      <c r="L18" s="19">
        <f>IFERROR(__xludf.DUMMYFUNCTION("""COMPUTED_VALUE"""),452.84)</f>
        <v>452.84</v>
      </c>
      <c r="M18" s="19">
        <f>IFERROR(__xludf.DUMMYFUNCTION("SUM(IMPORTRANGE(""1juk7449zs4jpNuI-o5X7XCsKjbIAXWPjQAMji4MmS2g"", ""1/2026!y10:y19""))"),471.80000000000007)</f>
        <v>471.8</v>
      </c>
      <c r="N18" s="33">
        <v>159.0</v>
      </c>
      <c r="O18" s="33">
        <v>63.0</v>
      </c>
      <c r="P18" s="33">
        <v>0.0</v>
      </c>
      <c r="Q18" s="22">
        <f t="shared" si="5"/>
        <v>2.967295597</v>
      </c>
      <c r="R18" s="23">
        <f t="shared" si="6"/>
        <v>0</v>
      </c>
      <c r="S18" s="24">
        <f t="shared" si="8"/>
        <v>0.3962264151</v>
      </c>
      <c r="T18" s="23">
        <f t="shared" si="7"/>
        <v>47.18</v>
      </c>
    </row>
    <row r="19">
      <c r="A19" s="18">
        <v>46036.0</v>
      </c>
      <c r="B19" s="19"/>
      <c r="C19" s="33"/>
      <c r="D19" s="33"/>
      <c r="E19" s="33"/>
      <c r="F19" s="22">
        <f t="shared" si="1"/>
        <v>0</v>
      </c>
      <c r="G19" s="23">
        <f t="shared" si="2"/>
        <v>0</v>
      </c>
      <c r="H19" s="24">
        <f t="shared" si="3"/>
        <v>0</v>
      </c>
      <c r="I19" s="34">
        <f t="shared" si="4"/>
        <v>0</v>
      </c>
      <c r="J19" s="26"/>
      <c r="K19" s="27">
        <v>46036.0</v>
      </c>
      <c r="L19" s="19">
        <f>IFERROR(__xludf.DUMMYFUNCTION("""COMPUTED_VALUE"""),365.48)</f>
        <v>365.48</v>
      </c>
      <c r="M19" s="19">
        <f>IFERROR(__xludf.DUMMYFUNCTION("SUM(IMPORTRANGE(""1juk7449zs4jpNuI-o5X7XCsKjbIAXWPjQAMji4MmS2g"", ""1/2026!z10:z19""))"),379.96)</f>
        <v>379.96</v>
      </c>
      <c r="N19" s="33">
        <v>126.0</v>
      </c>
      <c r="O19" s="33">
        <v>58.0</v>
      </c>
      <c r="P19" s="33">
        <v>3.0</v>
      </c>
      <c r="Q19" s="22">
        <f t="shared" si="5"/>
        <v>3.015555556</v>
      </c>
      <c r="R19" s="23">
        <f t="shared" si="6"/>
        <v>126.6533333</v>
      </c>
      <c r="S19" s="24">
        <f t="shared" si="8"/>
        <v>0.4603174603</v>
      </c>
      <c r="T19" s="23">
        <f t="shared" si="7"/>
        <v>37.996</v>
      </c>
    </row>
    <row r="20">
      <c r="A20" s="18">
        <v>46037.0</v>
      </c>
      <c r="B20" s="19"/>
      <c r="C20" s="33"/>
      <c r="D20" s="33"/>
      <c r="E20" s="33"/>
      <c r="F20" s="22">
        <f t="shared" si="1"/>
        <v>0</v>
      </c>
      <c r="G20" s="23">
        <f t="shared" si="2"/>
        <v>0</v>
      </c>
      <c r="H20" s="24">
        <f t="shared" si="3"/>
        <v>0</v>
      </c>
      <c r="I20" s="34">
        <f t="shared" si="4"/>
        <v>0</v>
      </c>
      <c r="J20" s="26"/>
      <c r="K20" s="27">
        <v>46037.0</v>
      </c>
      <c r="L20" s="19">
        <f>IFERROR(__xludf.DUMMYFUNCTION("""COMPUTED_VALUE"""),409.61)</f>
        <v>409.61</v>
      </c>
      <c r="M20" s="19">
        <f>IFERROR(__xludf.DUMMYFUNCTION("SUM(IMPORTRANGE(""1juk7449zs4jpNuI-o5X7XCsKjbIAXWPjQAMji4MmS2g"", ""1/2026!aa10:aa19""))"),409.53000000000003)</f>
        <v>409.53</v>
      </c>
      <c r="N20" s="33">
        <v>115.0</v>
      </c>
      <c r="O20" s="33">
        <v>61.0</v>
      </c>
      <c r="P20" s="33">
        <v>3.0</v>
      </c>
      <c r="Q20" s="22">
        <f t="shared" si="5"/>
        <v>3.561130435</v>
      </c>
      <c r="R20" s="23">
        <f t="shared" si="6"/>
        <v>136.51</v>
      </c>
      <c r="S20" s="24">
        <f t="shared" si="8"/>
        <v>0.5304347826</v>
      </c>
      <c r="T20" s="23">
        <f t="shared" si="7"/>
        <v>40.953</v>
      </c>
    </row>
    <row r="21">
      <c r="A21" s="18">
        <v>46038.0</v>
      </c>
      <c r="B21" s="19"/>
      <c r="C21" s="19"/>
      <c r="D21" s="33"/>
      <c r="E21" s="33"/>
      <c r="F21" s="22">
        <f t="shared" si="1"/>
        <v>0</v>
      </c>
      <c r="G21" s="23">
        <f t="shared" si="2"/>
        <v>0</v>
      </c>
      <c r="H21" s="24">
        <f t="shared" si="3"/>
        <v>0</v>
      </c>
      <c r="I21" s="34">
        <f t="shared" si="4"/>
        <v>0</v>
      </c>
      <c r="J21" s="26"/>
      <c r="K21" s="27">
        <v>46038.0</v>
      </c>
      <c r="L21" s="19">
        <f>IFERROR(__xludf.DUMMYFUNCTION("""COMPUTED_VALUE"""),459.6)</f>
        <v>459.6</v>
      </c>
      <c r="M21" s="19">
        <f>IFERROR(__xludf.DUMMYFUNCTION("SUM(IMPORTRANGE(""1juk7449zs4jpNuI-o5X7XCsKjbIAXWPjQAMji4MmS2g"", ""1/2026!ab10:ab19""))"),399.7)</f>
        <v>399.7</v>
      </c>
      <c r="N21" s="33">
        <v>72.0</v>
      </c>
      <c r="O21" s="33">
        <v>34.0</v>
      </c>
      <c r="P21" s="33">
        <v>4.0</v>
      </c>
      <c r="Q21" s="22">
        <f t="shared" si="5"/>
        <v>5.551388889</v>
      </c>
      <c r="R21" s="23">
        <f t="shared" si="6"/>
        <v>99.925</v>
      </c>
      <c r="S21" s="24">
        <f t="shared" si="8"/>
        <v>0.4722222222</v>
      </c>
      <c r="T21" s="23">
        <f t="shared" si="7"/>
        <v>39.97</v>
      </c>
      <c r="U21" s="19"/>
    </row>
    <row r="22">
      <c r="A22" s="18">
        <v>46039.0</v>
      </c>
      <c r="B22" s="19"/>
      <c r="C22" s="33"/>
      <c r="D22" s="33"/>
      <c r="E22" s="33"/>
      <c r="F22" s="22">
        <f t="shared" si="1"/>
        <v>0</v>
      </c>
      <c r="G22" s="23">
        <f t="shared" si="2"/>
        <v>0</v>
      </c>
      <c r="H22" s="24">
        <f t="shared" si="3"/>
        <v>0</v>
      </c>
      <c r="I22" s="34">
        <f t="shared" si="4"/>
        <v>0</v>
      </c>
      <c r="J22" s="26"/>
      <c r="K22" s="27">
        <v>46039.0</v>
      </c>
      <c r="L22" s="19">
        <f>IFERROR(__xludf.DUMMYFUNCTION("""COMPUTED_VALUE"""),453.24)</f>
        <v>453.24</v>
      </c>
      <c r="M22" s="19">
        <f>IFERROR(__xludf.DUMMYFUNCTION("SUM(IMPORTRANGE(""1juk7449zs4jpNuI-o5X7XCsKjbIAXWPjQAMji4MmS2g"", ""1/2026!ac10:ac19""))"),453.22)</f>
        <v>453.22</v>
      </c>
      <c r="N22" s="33">
        <v>219.0</v>
      </c>
      <c r="O22" s="33">
        <v>102.0</v>
      </c>
      <c r="P22" s="33">
        <v>2.0</v>
      </c>
      <c r="Q22" s="22">
        <f t="shared" si="5"/>
        <v>2.069497717</v>
      </c>
      <c r="R22" s="23">
        <f t="shared" si="6"/>
        <v>226.61</v>
      </c>
      <c r="S22" s="24">
        <f t="shared" si="8"/>
        <v>0.4657534247</v>
      </c>
      <c r="T22" s="23">
        <f t="shared" si="7"/>
        <v>45.322</v>
      </c>
    </row>
    <row r="23">
      <c r="A23" s="18">
        <v>46040.0</v>
      </c>
      <c r="B23" s="19"/>
      <c r="C23" s="33"/>
      <c r="D23" s="33"/>
      <c r="E23" s="19"/>
      <c r="F23" s="22">
        <f t="shared" si="1"/>
        <v>0</v>
      </c>
      <c r="G23" s="23">
        <f t="shared" si="2"/>
        <v>0</v>
      </c>
      <c r="H23" s="24">
        <f t="shared" si="3"/>
        <v>0</v>
      </c>
      <c r="I23" s="34">
        <f t="shared" si="4"/>
        <v>0</v>
      </c>
      <c r="J23" s="26"/>
      <c r="K23" s="27">
        <v>46040.0</v>
      </c>
      <c r="L23" s="19">
        <f>IFERROR(__xludf.DUMMYFUNCTION("""COMPUTED_VALUE"""),406.69)</f>
        <v>406.69</v>
      </c>
      <c r="M23" s="19">
        <f>IFERROR(__xludf.DUMMYFUNCTION("SUM(IMPORTRANGE(""1juk7449zs4jpNuI-o5X7XCsKjbIAXWPjQAMji4MmS2g"", ""1/2026!ad10:ad19""))"),436.0)</f>
        <v>436</v>
      </c>
      <c r="N23" s="33"/>
      <c r="O23" s="33"/>
      <c r="P23" s="33"/>
      <c r="Q23" s="22">
        <f t="shared" si="5"/>
        <v>0</v>
      </c>
      <c r="R23" s="23">
        <f t="shared" si="6"/>
        <v>0</v>
      </c>
      <c r="S23" s="24">
        <f t="shared" si="8"/>
        <v>0</v>
      </c>
      <c r="T23" s="23">
        <f t="shared" si="7"/>
        <v>43.6</v>
      </c>
    </row>
    <row r="24">
      <c r="A24" s="18">
        <v>46041.0</v>
      </c>
      <c r="B24" s="19"/>
      <c r="C24" s="33"/>
      <c r="D24" s="33"/>
      <c r="E24" s="33"/>
      <c r="F24" s="22">
        <f t="shared" si="1"/>
        <v>0</v>
      </c>
      <c r="G24" s="23">
        <f t="shared" si="2"/>
        <v>0</v>
      </c>
      <c r="H24" s="24">
        <f t="shared" si="3"/>
        <v>0</v>
      </c>
      <c r="I24" s="34">
        <f t="shared" si="4"/>
        <v>0</v>
      </c>
      <c r="J24" s="26"/>
      <c r="K24" s="27">
        <v>46041.0</v>
      </c>
      <c r="L24" s="19">
        <f>IFERROR(__xludf.DUMMYFUNCTION("""COMPUTED_VALUE"""),405.91)</f>
        <v>405.91</v>
      </c>
      <c r="M24" s="19">
        <f>IFERROR(__xludf.DUMMYFUNCTION("SUM(IMPORTRANGE(""1juk7449zs4jpNuI-o5X7XCsKjbIAXWPjQAMji4MmS2g"", ""1/2026!ae10:ae19""))"),397.92)</f>
        <v>397.92</v>
      </c>
      <c r="N24" s="33"/>
      <c r="O24" s="33"/>
      <c r="P24" s="33"/>
      <c r="Q24" s="22">
        <f t="shared" si="5"/>
        <v>0</v>
      </c>
      <c r="R24" s="23">
        <f t="shared" si="6"/>
        <v>0</v>
      </c>
      <c r="S24" s="24">
        <f t="shared" si="8"/>
        <v>0</v>
      </c>
      <c r="T24" s="23">
        <f t="shared" si="7"/>
        <v>39.792</v>
      </c>
    </row>
    <row r="25">
      <c r="A25" s="18">
        <v>46042.0</v>
      </c>
      <c r="B25" s="19"/>
      <c r="C25" s="33"/>
      <c r="D25" s="33"/>
      <c r="E25" s="33"/>
      <c r="F25" s="22">
        <f t="shared" si="1"/>
        <v>0</v>
      </c>
      <c r="G25" s="23">
        <f t="shared" si="2"/>
        <v>0</v>
      </c>
      <c r="H25" s="24">
        <f t="shared" si="3"/>
        <v>0</v>
      </c>
      <c r="I25" s="34">
        <f t="shared" si="4"/>
        <v>0</v>
      </c>
      <c r="J25" s="26"/>
      <c r="K25" s="27">
        <v>46042.0</v>
      </c>
      <c r="L25" s="19"/>
      <c r="M25" s="19">
        <f>IFERROR(__xludf.DUMMYFUNCTION("SUM(IMPORTRANGE(""1juk7449zs4jpNuI-o5X7XCsKjbIAXWPjQAMji4MmS2g"", ""1/2026!af10:af19""))"),9.71)</f>
        <v>9.71</v>
      </c>
      <c r="N25" s="33"/>
      <c r="O25" s="33"/>
      <c r="P25" s="33"/>
      <c r="Q25" s="22">
        <f t="shared" si="5"/>
        <v>0</v>
      </c>
      <c r="R25" s="23">
        <f t="shared" si="6"/>
        <v>0</v>
      </c>
      <c r="S25" s="24">
        <f t="shared" si="8"/>
        <v>0</v>
      </c>
      <c r="T25" s="23">
        <f t="shared" si="7"/>
        <v>0.971</v>
      </c>
    </row>
    <row r="26">
      <c r="A26" s="18">
        <v>46043.0</v>
      </c>
      <c r="B26" s="19"/>
      <c r="C26" s="33"/>
      <c r="D26" s="33"/>
      <c r="E26" s="33"/>
      <c r="F26" s="22">
        <f t="shared" si="1"/>
        <v>0</v>
      </c>
      <c r="G26" s="23">
        <f t="shared" si="2"/>
        <v>0</v>
      </c>
      <c r="H26" s="24">
        <f t="shared" si="3"/>
        <v>0</v>
      </c>
      <c r="I26" s="34">
        <f t="shared" si="4"/>
        <v>0</v>
      </c>
      <c r="J26" s="26"/>
      <c r="K26" s="27">
        <v>46043.0</v>
      </c>
      <c r="L26" s="19"/>
      <c r="M26" s="19">
        <f>IFERROR(__xludf.DUMMYFUNCTION("SUM(IMPORTRANGE(""1juk7449zs4jpNuI-o5X7XCsKjbIAXWPjQAMji4MmS2g"", ""1/2026!ag10:ag19""))"),0.0)</f>
        <v>0</v>
      </c>
      <c r="N26" s="33"/>
      <c r="O26" s="33"/>
      <c r="P26" s="33"/>
      <c r="Q26" s="22">
        <f t="shared" si="5"/>
        <v>0</v>
      </c>
      <c r="R26" s="23">
        <f t="shared" si="6"/>
        <v>0</v>
      </c>
      <c r="S26" s="24">
        <f t="shared" si="8"/>
        <v>0</v>
      </c>
      <c r="T26" s="23">
        <f t="shared" si="7"/>
        <v>0</v>
      </c>
    </row>
    <row r="27">
      <c r="A27" s="18">
        <v>46044.0</v>
      </c>
      <c r="B27" s="19"/>
      <c r="C27" s="33"/>
      <c r="D27" s="33"/>
      <c r="E27" s="33"/>
      <c r="F27" s="22">
        <f t="shared" si="1"/>
        <v>0</v>
      </c>
      <c r="G27" s="23">
        <f t="shared" si="2"/>
        <v>0</v>
      </c>
      <c r="H27" s="24">
        <f t="shared" si="3"/>
        <v>0</v>
      </c>
      <c r="I27" s="34">
        <f t="shared" si="4"/>
        <v>0</v>
      </c>
      <c r="J27" s="26"/>
      <c r="K27" s="27">
        <v>46044.0</v>
      </c>
      <c r="L27" s="19"/>
      <c r="M27" s="19">
        <f>IFERROR(__xludf.DUMMYFUNCTION("SUM(IMPORTRANGE(""1juk7449zs4jpNuI-o5X7XCsKjbIAXWPjQAMji4MmS2g"", ""1/2026!ah10:ah19""))"),0.0)</f>
        <v>0</v>
      </c>
      <c r="N27" s="33"/>
      <c r="O27" s="33"/>
      <c r="P27" s="33"/>
      <c r="Q27" s="22">
        <f t="shared" si="5"/>
        <v>0</v>
      </c>
      <c r="R27" s="23">
        <f t="shared" si="6"/>
        <v>0</v>
      </c>
      <c r="S27" s="24">
        <f t="shared" si="8"/>
        <v>0</v>
      </c>
      <c r="T27" s="23">
        <f t="shared" si="7"/>
        <v>0</v>
      </c>
    </row>
    <row r="28">
      <c r="A28" s="18">
        <v>46045.0</v>
      </c>
      <c r="B28" s="19"/>
      <c r="C28" s="33"/>
      <c r="D28" s="33"/>
      <c r="E28" s="33"/>
      <c r="F28" s="22">
        <f t="shared" si="1"/>
        <v>0</v>
      </c>
      <c r="G28" s="23">
        <f t="shared" si="2"/>
        <v>0</v>
      </c>
      <c r="H28" s="24">
        <f t="shared" si="3"/>
        <v>0</v>
      </c>
      <c r="I28" s="34">
        <f t="shared" si="4"/>
        <v>0</v>
      </c>
      <c r="J28" s="26"/>
      <c r="K28" s="27">
        <v>46045.0</v>
      </c>
      <c r="L28" s="19"/>
      <c r="M28" s="19">
        <f>IFERROR(__xludf.DUMMYFUNCTION("SUM(IMPORTRANGE(""1juk7449zs4jpNuI-o5X7XCsKjbIAXWPjQAMji4MmS2g"", ""1/2026!ai10:ai19""))"),0.0)</f>
        <v>0</v>
      </c>
      <c r="N28" s="33"/>
      <c r="O28" s="33"/>
      <c r="P28" s="33"/>
      <c r="Q28" s="22">
        <f t="shared" si="5"/>
        <v>0</v>
      </c>
      <c r="R28" s="23">
        <f t="shared" si="6"/>
        <v>0</v>
      </c>
      <c r="S28" s="24">
        <f t="shared" si="8"/>
        <v>0</v>
      </c>
      <c r="T28" s="23">
        <f t="shared" si="7"/>
        <v>0</v>
      </c>
    </row>
    <row r="29">
      <c r="A29" s="18">
        <v>46046.0</v>
      </c>
      <c r="B29" s="19"/>
      <c r="C29" s="33"/>
      <c r="D29" s="33"/>
      <c r="E29" s="33"/>
      <c r="F29" s="22">
        <f t="shared" si="1"/>
        <v>0</v>
      </c>
      <c r="G29" s="23">
        <f t="shared" si="2"/>
        <v>0</v>
      </c>
      <c r="H29" s="24">
        <f t="shared" si="3"/>
        <v>0</v>
      </c>
      <c r="I29" s="34">
        <f t="shared" si="4"/>
        <v>0</v>
      </c>
      <c r="J29" s="26"/>
      <c r="K29" s="27">
        <v>46046.0</v>
      </c>
      <c r="L29" s="19"/>
      <c r="M29" s="19">
        <f>IFERROR(__xludf.DUMMYFUNCTION("SUM(IMPORTRANGE(""1juk7449zs4jpNuI-o5X7XCsKjbIAXWPjQAMji4MmS2g"", ""1/2026!aj10:aj19""))"),0.0)</f>
        <v>0</v>
      </c>
      <c r="N29" s="33"/>
      <c r="O29" s="33"/>
      <c r="P29" s="33"/>
      <c r="Q29" s="22">
        <f t="shared" si="5"/>
        <v>0</v>
      </c>
      <c r="R29" s="23">
        <f t="shared" si="6"/>
        <v>0</v>
      </c>
      <c r="S29" s="24">
        <f t="shared" si="8"/>
        <v>0</v>
      </c>
      <c r="T29" s="23">
        <f t="shared" si="7"/>
        <v>0</v>
      </c>
    </row>
    <row r="30">
      <c r="A30" s="18">
        <v>46047.0</v>
      </c>
      <c r="B30" s="19"/>
      <c r="C30" s="33"/>
      <c r="D30" s="33"/>
      <c r="E30" s="33"/>
      <c r="F30" s="22">
        <f t="shared" si="1"/>
        <v>0</v>
      </c>
      <c r="G30" s="23">
        <f t="shared" si="2"/>
        <v>0</v>
      </c>
      <c r="H30" s="24">
        <f t="shared" si="3"/>
        <v>0</v>
      </c>
      <c r="I30" s="34">
        <f t="shared" si="4"/>
        <v>0</v>
      </c>
      <c r="J30" s="26"/>
      <c r="K30" s="27">
        <v>46047.0</v>
      </c>
      <c r="L30" s="19"/>
      <c r="M30" s="19">
        <f>IFERROR(__xludf.DUMMYFUNCTION("SUM(IMPORTRANGE(""1juk7449zs4jpNuI-o5X7XCsKjbIAXWPjQAMji4MmS2g"", ""1/2026!ak10:ak19""))"),0.0)</f>
        <v>0</v>
      </c>
      <c r="N30" s="33"/>
      <c r="O30" s="33"/>
      <c r="P30" s="33"/>
      <c r="Q30" s="22">
        <f t="shared" si="5"/>
        <v>0</v>
      </c>
      <c r="R30" s="23">
        <f t="shared" si="6"/>
        <v>0</v>
      </c>
      <c r="S30" s="24">
        <f t="shared" si="8"/>
        <v>0</v>
      </c>
      <c r="T30" s="23">
        <f t="shared" si="7"/>
        <v>0</v>
      </c>
    </row>
    <row r="31">
      <c r="A31" s="18">
        <v>46048.0</v>
      </c>
      <c r="B31" s="19"/>
      <c r="C31" s="33"/>
      <c r="D31" s="33"/>
      <c r="E31" s="33"/>
      <c r="F31" s="22">
        <f t="shared" si="1"/>
        <v>0</v>
      </c>
      <c r="G31" s="23">
        <f t="shared" si="2"/>
        <v>0</v>
      </c>
      <c r="H31" s="24">
        <f t="shared" si="3"/>
        <v>0</v>
      </c>
      <c r="I31" s="34">
        <f t="shared" si="4"/>
        <v>0</v>
      </c>
      <c r="J31" s="26"/>
      <c r="K31" s="27">
        <v>46048.0</v>
      </c>
      <c r="L31" s="19"/>
      <c r="M31" s="19">
        <f>IFERROR(__xludf.DUMMYFUNCTION("SUM(IMPORTRANGE(""1juk7449zs4jpNuI-o5X7XCsKjbIAXWPjQAMji4MmS2g"", ""1/2026!al10:al19""))"),0.0)</f>
        <v>0</v>
      </c>
      <c r="N31" s="33"/>
      <c r="O31" s="33"/>
      <c r="P31" s="33"/>
      <c r="Q31" s="22">
        <f t="shared" si="5"/>
        <v>0</v>
      </c>
      <c r="R31" s="23">
        <f t="shared" si="6"/>
        <v>0</v>
      </c>
      <c r="S31" s="24">
        <f t="shared" si="8"/>
        <v>0</v>
      </c>
      <c r="T31" s="23">
        <f t="shared" si="7"/>
        <v>0</v>
      </c>
    </row>
    <row r="32">
      <c r="A32" s="18">
        <v>46049.0</v>
      </c>
      <c r="B32" s="19"/>
      <c r="C32" s="33"/>
      <c r="D32" s="33"/>
      <c r="E32" s="33"/>
      <c r="F32" s="22">
        <f t="shared" si="1"/>
        <v>0</v>
      </c>
      <c r="G32" s="23">
        <f t="shared" si="2"/>
        <v>0</v>
      </c>
      <c r="H32" s="24">
        <f t="shared" si="3"/>
        <v>0</v>
      </c>
      <c r="I32" s="34">
        <f t="shared" si="4"/>
        <v>0</v>
      </c>
      <c r="J32" s="26"/>
      <c r="K32" s="27">
        <v>46049.0</v>
      </c>
      <c r="L32" s="19"/>
      <c r="M32" s="19">
        <f>IFERROR(__xludf.DUMMYFUNCTION("SUM(IMPORTRANGE(""1juk7449zs4jpNuI-o5X7XCsKjbIAXWPjQAMji4MmS2g"", ""1/2026!am10:am19""))"),0.0)</f>
        <v>0</v>
      </c>
      <c r="N32" s="33"/>
      <c r="O32" s="33"/>
      <c r="P32" s="33"/>
      <c r="Q32" s="22">
        <f t="shared" si="5"/>
        <v>0</v>
      </c>
      <c r="R32" s="23">
        <f t="shared" si="6"/>
        <v>0</v>
      </c>
      <c r="S32" s="24">
        <f t="shared" si="8"/>
        <v>0</v>
      </c>
      <c r="T32" s="23">
        <f t="shared" si="7"/>
        <v>0</v>
      </c>
    </row>
    <row r="33">
      <c r="A33" s="18">
        <v>46050.0</v>
      </c>
      <c r="B33" s="19"/>
      <c r="C33" s="19"/>
      <c r="D33" s="19"/>
      <c r="E33" s="19"/>
      <c r="F33" s="22">
        <f t="shared" si="1"/>
        <v>0</v>
      </c>
      <c r="G33" s="23">
        <f t="shared" si="2"/>
        <v>0</v>
      </c>
      <c r="H33" s="24">
        <f t="shared" si="3"/>
        <v>0</v>
      </c>
      <c r="I33" s="34">
        <f t="shared" si="4"/>
        <v>0</v>
      </c>
      <c r="J33" s="26"/>
      <c r="K33" s="27">
        <v>46050.0</v>
      </c>
      <c r="L33" s="19"/>
      <c r="M33" s="19">
        <f>IFERROR(__xludf.DUMMYFUNCTION("SUM(IMPORTRANGE(""1juk7449zs4jpNuI-o5X7XCsKjbIAXWPjQAMji4MmS2g"", ""1/2026!an10:an19""))"),0.0)</f>
        <v>0</v>
      </c>
      <c r="N33" s="33"/>
      <c r="O33" s="33"/>
      <c r="P33" s="33"/>
      <c r="Q33" s="22">
        <f t="shared" si="5"/>
        <v>0</v>
      </c>
      <c r="R33" s="23">
        <f t="shared" si="6"/>
        <v>0</v>
      </c>
      <c r="S33" s="24">
        <f t="shared" si="8"/>
        <v>0</v>
      </c>
      <c r="T33" s="23">
        <f t="shared" si="7"/>
        <v>0</v>
      </c>
    </row>
    <row r="34">
      <c r="A34" s="18">
        <v>46051.0</v>
      </c>
      <c r="B34" s="19"/>
      <c r="C34" s="19"/>
      <c r="D34" s="19"/>
      <c r="E34" s="19"/>
      <c r="F34" s="22">
        <f t="shared" si="1"/>
        <v>0</v>
      </c>
      <c r="G34" s="23">
        <f t="shared" si="2"/>
        <v>0</v>
      </c>
      <c r="H34" s="24">
        <f t="shared" si="3"/>
        <v>0</v>
      </c>
      <c r="I34" s="34">
        <f t="shared" si="4"/>
        <v>0</v>
      </c>
      <c r="J34" s="26"/>
      <c r="K34" s="27">
        <v>46051.0</v>
      </c>
      <c r="L34" s="19"/>
      <c r="M34" s="19">
        <f>IFERROR(__xludf.DUMMYFUNCTION("SUM(IMPORTRANGE(""1juk7449zs4jpNuI-o5X7XCsKjbIAXWPjQAMji4MmS2g"", ""1/2026!ao10:ao19""))"),0.0)</f>
        <v>0</v>
      </c>
      <c r="N34" s="33"/>
      <c r="O34" s="33"/>
      <c r="P34" s="33"/>
      <c r="Q34" s="22">
        <f t="shared" si="5"/>
        <v>0</v>
      </c>
      <c r="R34" s="23">
        <f t="shared" si="6"/>
        <v>0</v>
      </c>
      <c r="S34" s="24">
        <f t="shared" si="8"/>
        <v>0</v>
      </c>
      <c r="T34" s="23">
        <f t="shared" si="7"/>
        <v>0</v>
      </c>
    </row>
    <row r="35">
      <c r="A35" s="18">
        <v>46052.0</v>
      </c>
      <c r="B35" s="19">
        <f>IFERROR(__xludf.DUMMYFUNCTION("SUM(IMPORTRANGE(""1juk7449zs4jpNuI-o5X7XCsKjbIAXWPjQAMji4MmS2g"", ""12/2025!ap5:ap12""))"),0.0)</f>
        <v>0</v>
      </c>
      <c r="C35" s="19"/>
      <c r="D35" s="19"/>
      <c r="E35" s="19"/>
      <c r="F35" s="22">
        <f t="shared" si="1"/>
        <v>0</v>
      </c>
      <c r="G35" s="23">
        <f t="shared" si="2"/>
        <v>0</v>
      </c>
      <c r="H35" s="24">
        <f t="shared" si="3"/>
        <v>0</v>
      </c>
      <c r="I35" s="34">
        <f t="shared" si="4"/>
        <v>0</v>
      </c>
      <c r="J35" s="26"/>
      <c r="K35" s="27">
        <v>46052.0</v>
      </c>
      <c r="L35" s="19"/>
      <c r="M35" s="19">
        <f>IFERROR(__xludf.DUMMYFUNCTION("SUM(IMPORTRANGE(""1juk7449zs4jpNuI-o5X7XCsKjbIAXWPjQAMji4MmS2g"", ""1/2026!ap10:ap19""))"),0.0)</f>
        <v>0</v>
      </c>
      <c r="N35" s="33"/>
      <c r="O35" s="33"/>
      <c r="P35" s="33"/>
      <c r="Q35" s="22">
        <f t="shared" si="5"/>
        <v>0</v>
      </c>
      <c r="R35" s="23">
        <f t="shared" si="6"/>
        <v>0</v>
      </c>
      <c r="S35" s="24">
        <f t="shared" si="8"/>
        <v>0</v>
      </c>
      <c r="T35" s="23">
        <f t="shared" si="7"/>
        <v>0</v>
      </c>
    </row>
    <row r="36">
      <c r="A36" s="18">
        <v>46053.0</v>
      </c>
      <c r="B36" s="19">
        <f>IFERROR(__xludf.DUMMYFUNCTION("SUM(IMPORTRANGE(""1juk7449zs4jpNuI-o5X7XCsKjbIAXWPjQAMji4MmS2g"", ""12/2025!aq5:aq12""))"),0.0)</f>
        <v>0</v>
      </c>
      <c r="F36" s="22">
        <f t="shared" si="1"/>
        <v>0</v>
      </c>
      <c r="G36" s="23">
        <f t="shared" si="2"/>
        <v>0</v>
      </c>
      <c r="H36" s="24">
        <f t="shared" si="3"/>
        <v>0</v>
      </c>
      <c r="I36" s="34">
        <f t="shared" si="4"/>
        <v>0</v>
      </c>
      <c r="J36" s="26"/>
      <c r="K36" s="27">
        <v>46053.0</v>
      </c>
      <c r="L36" s="19"/>
      <c r="M36" s="19">
        <f>IFERROR(__xludf.DUMMYFUNCTION("SUM(IMPORTRANGE(""1juk7449zs4jpNuI-o5X7XCsKjbIAXWPjQAMji4MmS2g"", ""1/2026!aq10:aq19""))"),0.0)</f>
        <v>0</v>
      </c>
      <c r="N36" s="33"/>
      <c r="O36" s="33"/>
      <c r="P36" s="33"/>
      <c r="Q36" s="22">
        <f t="shared" si="5"/>
        <v>0</v>
      </c>
      <c r="R36" s="23">
        <f t="shared" si="6"/>
        <v>0</v>
      </c>
      <c r="S36" s="24">
        <f t="shared" si="8"/>
        <v>0</v>
      </c>
      <c r="T36" s="23">
        <f t="shared" si="7"/>
        <v>0</v>
      </c>
    </row>
    <row r="37">
      <c r="A37" s="35" t="s">
        <v>14</v>
      </c>
      <c r="B37" s="36">
        <f t="shared" ref="B37:E37" si="9">SUM(B6:B35)</f>
        <v>0</v>
      </c>
      <c r="C37" s="36">
        <f t="shared" si="9"/>
        <v>0</v>
      </c>
      <c r="D37" s="36">
        <f t="shared" si="9"/>
        <v>9</v>
      </c>
      <c r="E37" s="36">
        <f t="shared" si="9"/>
        <v>1</v>
      </c>
      <c r="F37" s="37">
        <f t="shared" si="1"/>
        <v>0</v>
      </c>
      <c r="G37" s="38">
        <f t="shared" si="2"/>
        <v>0</v>
      </c>
      <c r="H37" s="39">
        <f t="shared" si="3"/>
        <v>0</v>
      </c>
      <c r="I37" s="40">
        <f t="shared" si="4"/>
        <v>0</v>
      </c>
      <c r="J37" s="41"/>
      <c r="K37" s="42" t="s">
        <v>14</v>
      </c>
      <c r="L37" s="36"/>
      <c r="M37" s="36">
        <f>SUM(M6:M35)</f>
        <v>6876.39</v>
      </c>
      <c r="N37" s="36">
        <f t="shared" ref="N37:P37" si="10">SUM(N6:N36)</f>
        <v>4600</v>
      </c>
      <c r="O37" s="36">
        <f t="shared" si="10"/>
        <v>2339</v>
      </c>
      <c r="P37" s="36">
        <f t="shared" si="10"/>
        <v>88</v>
      </c>
      <c r="Q37" s="37">
        <f t="shared" si="5"/>
        <v>1.494867391</v>
      </c>
      <c r="R37" s="38">
        <f t="shared" si="6"/>
        <v>78.14079545</v>
      </c>
      <c r="S37" s="39">
        <f t="shared" si="8"/>
        <v>0.5084782609</v>
      </c>
      <c r="T37" s="38">
        <f t="shared" si="7"/>
        <v>687.639</v>
      </c>
    </row>
    <row r="38">
      <c r="J38" s="43"/>
    </row>
    <row r="39">
      <c r="J39" s="43"/>
    </row>
    <row r="40">
      <c r="J40" s="43"/>
    </row>
    <row r="41">
      <c r="J41" s="43"/>
    </row>
    <row r="42">
      <c r="J42" s="43"/>
    </row>
    <row r="43">
      <c r="J43" s="43"/>
    </row>
    <row r="44">
      <c r="J44" s="43"/>
    </row>
  </sheetData>
  <mergeCells count="4">
    <mergeCell ref="A3:I3"/>
    <mergeCell ref="K3:T3"/>
    <mergeCell ref="A4:I4"/>
    <mergeCell ref="K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6" max="6" width="18.14"/>
    <col customWidth="1" min="19" max="19" width="17.86"/>
  </cols>
  <sheetData>
    <row r="3">
      <c r="A3" s="1" t="s">
        <v>0</v>
      </c>
      <c r="B3" s="2"/>
      <c r="C3" s="2"/>
      <c r="D3" s="2"/>
      <c r="E3" s="2"/>
      <c r="F3" s="2"/>
      <c r="G3" s="2"/>
      <c r="H3" s="2"/>
      <c r="I3" s="2"/>
      <c r="J3" s="3"/>
      <c r="K3" s="44"/>
      <c r="V3" s="6"/>
      <c r="W3" s="6"/>
      <c r="X3" s="6"/>
      <c r="Y3" s="6"/>
      <c r="Z3" s="6"/>
      <c r="AA3" s="6"/>
      <c r="AB3" s="6"/>
      <c r="AC3" s="6"/>
      <c r="AD3" s="6"/>
    </row>
    <row r="4">
      <c r="A4" s="7" t="s">
        <v>2</v>
      </c>
      <c r="B4" s="2"/>
      <c r="C4" s="2"/>
      <c r="D4" s="2"/>
      <c r="E4" s="2"/>
      <c r="F4" s="2"/>
      <c r="G4" s="2"/>
      <c r="H4" s="2"/>
      <c r="I4" s="2"/>
      <c r="J4" s="3"/>
      <c r="K4" s="44"/>
      <c r="V4" s="6"/>
      <c r="W4" s="6"/>
      <c r="X4" s="6"/>
      <c r="Y4" s="6"/>
      <c r="Z4" s="6"/>
      <c r="AA4" s="6"/>
      <c r="AB4" s="6"/>
      <c r="AC4" s="6"/>
      <c r="AD4" s="6"/>
    </row>
    <row r="5">
      <c r="A5" s="9" t="s">
        <v>3</v>
      </c>
      <c r="B5" s="15" t="s">
        <v>12</v>
      </c>
      <c r="C5" s="9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1" t="s">
        <v>9</v>
      </c>
      <c r="I5" s="10" t="s">
        <v>10</v>
      </c>
      <c r="J5" s="45" t="s">
        <v>11</v>
      </c>
      <c r="K5" s="46"/>
      <c r="L5" s="47"/>
      <c r="M5" s="46"/>
      <c r="N5" s="48"/>
      <c r="O5" s="48"/>
      <c r="P5" s="48"/>
      <c r="Q5" s="48"/>
      <c r="R5" s="49"/>
      <c r="S5" s="49"/>
      <c r="T5" s="50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8">
        <v>46023.0</v>
      </c>
      <c r="B6" s="51" t="str">
        <f>IFERROR(__xludf.DUMMYFUNCTION("(IMPORTRANGE(""1INH19ghCw782QEanlWDCs5aT59ol_teq6F7nat1cE_0"", ""Январь(Аргентина)!b2:b32""))"),"")</f>
        <v/>
      </c>
      <c r="C6" s="19"/>
      <c r="D6" s="20"/>
      <c r="E6" s="20"/>
      <c r="F6" s="52"/>
      <c r="G6" s="22">
        <f t="shared" ref="G6:G37" si="1">IFERROR(C6/D6, 0)</f>
        <v>0</v>
      </c>
      <c r="H6" s="23">
        <f t="shared" ref="H6:H37" si="2">IFERROR(C6/F6, 0)</f>
        <v>0</v>
      </c>
      <c r="I6" s="24">
        <f t="shared" ref="I6:I37" si="3">IFERROR(E6/D6, 0)</f>
        <v>0</v>
      </c>
      <c r="J6" s="23">
        <f t="shared" ref="J6:J37" si="4">C6*0.1</f>
        <v>0</v>
      </c>
      <c r="K6" s="53"/>
      <c r="L6" s="54"/>
      <c r="M6" s="43"/>
      <c r="N6" s="55"/>
      <c r="O6" s="55"/>
      <c r="P6" s="55"/>
      <c r="Q6" s="56"/>
      <c r="R6" s="57"/>
      <c r="S6" s="58"/>
      <c r="T6" s="57"/>
    </row>
    <row r="7">
      <c r="A7" s="18">
        <v>46024.0</v>
      </c>
      <c r="B7" s="59"/>
      <c r="C7" s="19"/>
      <c r="D7" s="52"/>
      <c r="E7" s="52"/>
      <c r="F7" s="52"/>
      <c r="G7" s="22">
        <f t="shared" si="1"/>
        <v>0</v>
      </c>
      <c r="H7" s="23">
        <f t="shared" si="2"/>
        <v>0</v>
      </c>
      <c r="I7" s="24">
        <f t="shared" si="3"/>
        <v>0</v>
      </c>
      <c r="J7" s="23">
        <f t="shared" si="4"/>
        <v>0</v>
      </c>
      <c r="K7" s="53"/>
      <c r="L7" s="43"/>
      <c r="M7" s="43"/>
      <c r="N7" s="55"/>
      <c r="O7" s="55"/>
      <c r="P7" s="55"/>
      <c r="Q7" s="56"/>
      <c r="R7" s="57"/>
      <c r="S7" s="58"/>
      <c r="T7" s="57"/>
      <c r="Z7" s="30"/>
    </row>
    <row r="8">
      <c r="A8" s="18">
        <v>46025.0</v>
      </c>
      <c r="B8" s="59"/>
      <c r="C8" s="19"/>
      <c r="D8" s="52"/>
      <c r="E8" s="52"/>
      <c r="F8" s="52"/>
      <c r="G8" s="22">
        <f t="shared" si="1"/>
        <v>0</v>
      </c>
      <c r="H8" s="23">
        <f t="shared" si="2"/>
        <v>0</v>
      </c>
      <c r="I8" s="24">
        <f t="shared" si="3"/>
        <v>0</v>
      </c>
      <c r="J8" s="23">
        <f t="shared" si="4"/>
        <v>0</v>
      </c>
      <c r="K8" s="53"/>
      <c r="L8" s="43"/>
      <c r="M8" s="43"/>
      <c r="N8" s="60"/>
      <c r="O8" s="60"/>
      <c r="P8" s="60"/>
      <c r="Q8" s="56"/>
      <c r="R8" s="57"/>
      <c r="S8" s="58"/>
      <c r="T8" s="57"/>
      <c r="Z8" s="30"/>
    </row>
    <row r="9">
      <c r="A9" s="18">
        <v>46026.0</v>
      </c>
      <c r="B9" s="59"/>
      <c r="C9" s="19"/>
      <c r="D9" s="52"/>
      <c r="E9" s="52"/>
      <c r="F9" s="52"/>
      <c r="G9" s="22">
        <f t="shared" si="1"/>
        <v>0</v>
      </c>
      <c r="H9" s="23">
        <f t="shared" si="2"/>
        <v>0</v>
      </c>
      <c r="I9" s="24">
        <f t="shared" si="3"/>
        <v>0</v>
      </c>
      <c r="J9" s="23">
        <f t="shared" si="4"/>
        <v>0</v>
      </c>
      <c r="K9" s="53"/>
      <c r="L9" s="43"/>
      <c r="M9" s="43"/>
      <c r="N9" s="60"/>
      <c r="O9" s="60"/>
      <c r="P9" s="60"/>
      <c r="Q9" s="56"/>
      <c r="R9" s="57"/>
      <c r="S9" s="58"/>
      <c r="T9" s="57"/>
      <c r="Z9" s="30"/>
    </row>
    <row r="10">
      <c r="A10" s="18">
        <v>46027.0</v>
      </c>
      <c r="B10" s="59"/>
      <c r="C10" s="19"/>
      <c r="D10" s="33"/>
      <c r="E10" s="33"/>
      <c r="F10" s="33"/>
      <c r="G10" s="22">
        <f t="shared" si="1"/>
        <v>0</v>
      </c>
      <c r="H10" s="23">
        <f t="shared" si="2"/>
        <v>0</v>
      </c>
      <c r="I10" s="24">
        <f t="shared" si="3"/>
        <v>0</v>
      </c>
      <c r="J10" s="23">
        <f t="shared" si="4"/>
        <v>0</v>
      </c>
      <c r="K10" s="53"/>
      <c r="L10" s="43"/>
      <c r="M10" s="43"/>
      <c r="N10" s="60"/>
      <c r="O10" s="60"/>
      <c r="P10" s="60"/>
      <c r="Q10" s="56"/>
      <c r="R10" s="57"/>
      <c r="S10" s="58"/>
      <c r="T10" s="57"/>
      <c r="Z10" s="30"/>
    </row>
    <row r="11">
      <c r="A11" s="18">
        <v>46028.0</v>
      </c>
      <c r="B11" s="59"/>
      <c r="C11" s="61"/>
      <c r="D11" s="33"/>
      <c r="E11" s="33"/>
      <c r="F11" s="33"/>
      <c r="G11" s="22">
        <f t="shared" si="1"/>
        <v>0</v>
      </c>
      <c r="H11" s="23">
        <f t="shared" si="2"/>
        <v>0</v>
      </c>
      <c r="I11" s="24">
        <f t="shared" si="3"/>
        <v>0</v>
      </c>
      <c r="J11" s="23">
        <f t="shared" si="4"/>
        <v>0</v>
      </c>
      <c r="K11" s="53"/>
      <c r="L11" s="43"/>
      <c r="M11" s="43"/>
      <c r="N11" s="62"/>
      <c r="O11" s="62"/>
      <c r="P11" s="62"/>
      <c r="Q11" s="56"/>
      <c r="R11" s="57"/>
      <c r="S11" s="58"/>
      <c r="T11" s="57"/>
      <c r="Z11" s="30"/>
    </row>
    <row r="12">
      <c r="A12" s="18">
        <v>46029.0</v>
      </c>
      <c r="B12" s="59"/>
      <c r="C12" s="19"/>
      <c r="D12" s="33"/>
      <c r="E12" s="33"/>
      <c r="F12" s="33"/>
      <c r="G12" s="22">
        <f t="shared" si="1"/>
        <v>0</v>
      </c>
      <c r="H12" s="23">
        <f t="shared" si="2"/>
        <v>0</v>
      </c>
      <c r="I12" s="24">
        <f t="shared" si="3"/>
        <v>0</v>
      </c>
      <c r="J12" s="23">
        <f t="shared" si="4"/>
        <v>0</v>
      </c>
      <c r="K12" s="53"/>
      <c r="L12" s="43"/>
      <c r="M12" s="43"/>
      <c r="N12" s="62"/>
      <c r="O12" s="62"/>
      <c r="P12" s="62"/>
      <c r="Q12" s="56"/>
      <c r="R12" s="57"/>
      <c r="S12" s="58"/>
      <c r="T12" s="57"/>
      <c r="Z12" s="30"/>
    </row>
    <row r="13">
      <c r="A13" s="18">
        <v>46030.0</v>
      </c>
      <c r="B13" s="59"/>
      <c r="C13" s="33"/>
      <c r="D13" s="33"/>
      <c r="E13" s="33"/>
      <c r="F13" s="33"/>
      <c r="G13" s="22">
        <f t="shared" si="1"/>
        <v>0</v>
      </c>
      <c r="H13" s="23">
        <f t="shared" si="2"/>
        <v>0</v>
      </c>
      <c r="I13" s="24">
        <f t="shared" si="3"/>
        <v>0</v>
      </c>
      <c r="J13" s="23">
        <f t="shared" si="4"/>
        <v>0</v>
      </c>
      <c r="K13" s="53"/>
      <c r="L13" s="43"/>
      <c r="M13" s="43"/>
      <c r="N13" s="62"/>
      <c r="O13" s="62"/>
      <c r="P13" s="62"/>
      <c r="Q13" s="56"/>
      <c r="R13" s="57"/>
      <c r="S13" s="58"/>
      <c r="T13" s="57"/>
      <c r="Z13" s="30"/>
    </row>
    <row r="14">
      <c r="A14" s="18">
        <v>46031.0</v>
      </c>
      <c r="B14" s="59"/>
      <c r="C14" s="19"/>
      <c r="D14" s="33"/>
      <c r="E14" s="33"/>
      <c r="F14" s="33"/>
      <c r="G14" s="22">
        <f t="shared" si="1"/>
        <v>0</v>
      </c>
      <c r="H14" s="23">
        <f t="shared" si="2"/>
        <v>0</v>
      </c>
      <c r="I14" s="24">
        <f t="shared" si="3"/>
        <v>0</v>
      </c>
      <c r="J14" s="23">
        <f t="shared" si="4"/>
        <v>0</v>
      </c>
      <c r="K14" s="53"/>
      <c r="L14" s="43"/>
      <c r="M14" s="43"/>
      <c r="N14" s="62"/>
      <c r="O14" s="62"/>
      <c r="P14" s="62"/>
      <c r="Q14" s="56"/>
      <c r="R14" s="57"/>
      <c r="S14" s="58"/>
      <c r="T14" s="57"/>
    </row>
    <row r="15">
      <c r="A15" s="18">
        <v>46032.0</v>
      </c>
      <c r="B15" s="59"/>
      <c r="C15" s="19"/>
      <c r="D15" s="33"/>
      <c r="E15" s="33"/>
      <c r="F15" s="33"/>
      <c r="G15" s="22">
        <f t="shared" si="1"/>
        <v>0</v>
      </c>
      <c r="H15" s="23">
        <f t="shared" si="2"/>
        <v>0</v>
      </c>
      <c r="I15" s="24">
        <f t="shared" si="3"/>
        <v>0</v>
      </c>
      <c r="J15" s="23">
        <f t="shared" si="4"/>
        <v>0</v>
      </c>
      <c r="K15" s="53"/>
      <c r="L15" s="43"/>
      <c r="M15" s="43"/>
      <c r="N15" s="62"/>
      <c r="O15" s="62"/>
      <c r="P15" s="62"/>
      <c r="Q15" s="56"/>
      <c r="R15" s="57"/>
      <c r="S15" s="58"/>
      <c r="T15" s="57"/>
    </row>
    <row r="16">
      <c r="A16" s="18">
        <v>46033.0</v>
      </c>
      <c r="B16" s="59"/>
      <c r="C16" s="19"/>
      <c r="D16" s="33"/>
      <c r="E16" s="33"/>
      <c r="F16" s="33"/>
      <c r="G16" s="22">
        <f t="shared" si="1"/>
        <v>0</v>
      </c>
      <c r="H16" s="23">
        <f t="shared" si="2"/>
        <v>0</v>
      </c>
      <c r="I16" s="24">
        <f t="shared" si="3"/>
        <v>0</v>
      </c>
      <c r="J16" s="23">
        <f t="shared" si="4"/>
        <v>0</v>
      </c>
      <c r="K16" s="53"/>
      <c r="L16" s="43"/>
      <c r="M16" s="43"/>
      <c r="N16" s="62"/>
      <c r="O16" s="62"/>
      <c r="P16" s="62"/>
      <c r="Q16" s="56"/>
      <c r="R16" s="57"/>
      <c r="S16" s="58"/>
      <c r="T16" s="57"/>
    </row>
    <row r="17">
      <c r="A17" s="18">
        <v>46034.0</v>
      </c>
      <c r="B17" s="59"/>
      <c r="C17" s="19"/>
      <c r="D17" s="33"/>
      <c r="E17" s="33"/>
      <c r="F17" s="33"/>
      <c r="G17" s="22">
        <f t="shared" si="1"/>
        <v>0</v>
      </c>
      <c r="H17" s="23">
        <f t="shared" si="2"/>
        <v>0</v>
      </c>
      <c r="I17" s="24">
        <f t="shared" si="3"/>
        <v>0</v>
      </c>
      <c r="J17" s="23">
        <f t="shared" si="4"/>
        <v>0</v>
      </c>
      <c r="K17" s="53"/>
      <c r="L17" s="43"/>
      <c r="M17" s="43"/>
      <c r="N17" s="62"/>
      <c r="O17" s="62"/>
      <c r="P17" s="62"/>
      <c r="Q17" s="56"/>
      <c r="R17" s="57"/>
      <c r="S17" s="58"/>
      <c r="T17" s="57"/>
    </row>
    <row r="18">
      <c r="A18" s="18">
        <v>46035.0</v>
      </c>
      <c r="B18" s="59"/>
      <c r="C18" s="19"/>
      <c r="D18" s="33"/>
      <c r="E18" s="33"/>
      <c r="F18" s="33"/>
      <c r="G18" s="22">
        <f t="shared" si="1"/>
        <v>0</v>
      </c>
      <c r="H18" s="23">
        <f t="shared" si="2"/>
        <v>0</v>
      </c>
      <c r="I18" s="24">
        <f t="shared" si="3"/>
        <v>0</v>
      </c>
      <c r="J18" s="23">
        <f t="shared" si="4"/>
        <v>0</v>
      </c>
      <c r="K18" s="53"/>
      <c r="L18" s="43"/>
      <c r="M18" s="43"/>
      <c r="N18" s="62"/>
      <c r="O18" s="62"/>
      <c r="P18" s="62"/>
      <c r="Q18" s="56"/>
      <c r="R18" s="57"/>
      <c r="S18" s="58"/>
      <c r="T18" s="57"/>
    </row>
    <row r="19">
      <c r="A19" s="18">
        <v>46036.0</v>
      </c>
      <c r="B19" s="59"/>
      <c r="C19" s="19"/>
      <c r="D19" s="33"/>
      <c r="E19" s="33"/>
      <c r="F19" s="33"/>
      <c r="G19" s="22">
        <f t="shared" si="1"/>
        <v>0</v>
      </c>
      <c r="H19" s="23">
        <f t="shared" si="2"/>
        <v>0</v>
      </c>
      <c r="I19" s="24">
        <f t="shared" si="3"/>
        <v>0</v>
      </c>
      <c r="J19" s="23">
        <f t="shared" si="4"/>
        <v>0</v>
      </c>
      <c r="K19" s="53"/>
      <c r="L19" s="43"/>
      <c r="M19" s="43"/>
      <c r="N19" s="62"/>
      <c r="O19" s="62"/>
      <c r="P19" s="62"/>
      <c r="Q19" s="56"/>
      <c r="R19" s="57"/>
      <c r="S19" s="58"/>
      <c r="T19" s="57"/>
    </row>
    <row r="20">
      <c r="A20" s="18">
        <v>46037.0</v>
      </c>
      <c r="B20" s="59">
        <f>IFERROR(__xludf.DUMMYFUNCTION("""COMPUTED_VALUE"""),105.5)</f>
        <v>105.5</v>
      </c>
      <c r="C20" s="19">
        <f>IFERROR(__xludf.DUMMYFUNCTION("SUM(IMPORTRANGE(
 ""1juk7449zs4jpNuI-o5X7XCsKjbIAXWPjQAMji4MmS2g"",
 ""1/2026!AA5:AA9""
))"),105.13)</f>
        <v>105.13</v>
      </c>
      <c r="D20" s="33">
        <v>78.0</v>
      </c>
      <c r="E20" s="33">
        <v>30.0</v>
      </c>
      <c r="F20" s="33">
        <v>0.0</v>
      </c>
      <c r="G20" s="22">
        <f t="shared" si="1"/>
        <v>1.347820513</v>
      </c>
      <c r="H20" s="23">
        <f t="shared" si="2"/>
        <v>0</v>
      </c>
      <c r="I20" s="24">
        <f t="shared" si="3"/>
        <v>0.3846153846</v>
      </c>
      <c r="J20" s="23">
        <f t="shared" si="4"/>
        <v>10.513</v>
      </c>
      <c r="K20" s="53"/>
      <c r="L20" s="43"/>
      <c r="M20" s="43"/>
      <c r="N20" s="62"/>
      <c r="O20" s="62"/>
      <c r="P20" s="62"/>
      <c r="Q20" s="56"/>
      <c r="R20" s="57"/>
      <c r="S20" s="58"/>
      <c r="T20" s="57"/>
    </row>
    <row r="21">
      <c r="A21" s="18">
        <v>46038.0</v>
      </c>
      <c r="B21" s="59">
        <f>IFERROR(__xludf.DUMMYFUNCTION("""COMPUTED_VALUE"""),102.05)</f>
        <v>102.05</v>
      </c>
      <c r="C21" s="19">
        <f>IFERROR(__xludf.DUMMYFUNCTION("SUM(IMPORTRANGE(
 ""1juk7449zs4jpNuI-o5X7XCsKjbIAXWPjQAMji4MmS2g"",
 ""1/2026!Ab5:Ab9""
))"),95.06)</f>
        <v>95.06</v>
      </c>
      <c r="D21" s="33">
        <v>83.0</v>
      </c>
      <c r="E21" s="33">
        <v>36.0</v>
      </c>
      <c r="F21" s="33">
        <v>0.0</v>
      </c>
      <c r="G21" s="22">
        <f t="shared" si="1"/>
        <v>1.145301205</v>
      </c>
      <c r="H21" s="23">
        <f t="shared" si="2"/>
        <v>0</v>
      </c>
      <c r="I21" s="24">
        <f t="shared" si="3"/>
        <v>0.4337349398</v>
      </c>
      <c r="J21" s="23">
        <f t="shared" si="4"/>
        <v>9.506</v>
      </c>
      <c r="K21" s="53"/>
      <c r="L21" s="43"/>
      <c r="M21" s="43"/>
      <c r="N21" s="62"/>
      <c r="O21" s="62"/>
      <c r="P21" s="62"/>
      <c r="Q21" s="56"/>
      <c r="R21" s="57"/>
      <c r="S21" s="58"/>
      <c r="T21" s="57"/>
      <c r="U21" s="63"/>
    </row>
    <row r="22">
      <c r="A22" s="18">
        <v>46039.0</v>
      </c>
      <c r="B22" s="59">
        <f>IFERROR(__xludf.DUMMYFUNCTION("""COMPUTED_VALUE"""),139.2)</f>
        <v>139.2</v>
      </c>
      <c r="C22" s="19">
        <f>IFERROR(__xludf.DUMMYFUNCTION("SUM(IMPORTRANGE(
 ""1juk7449zs4jpNuI-o5X7XCsKjbIAXWPjQAMji4MmS2g"",
 ""1/2026!Ac5:Ac9""
))"),139.2)</f>
        <v>139.2</v>
      </c>
      <c r="D22" s="33">
        <v>76.0</v>
      </c>
      <c r="E22" s="33">
        <v>25.0</v>
      </c>
      <c r="F22" s="33">
        <v>1.0</v>
      </c>
      <c r="G22" s="22">
        <f t="shared" si="1"/>
        <v>1.831578947</v>
      </c>
      <c r="H22" s="23">
        <f t="shared" si="2"/>
        <v>139.2</v>
      </c>
      <c r="I22" s="24">
        <f t="shared" si="3"/>
        <v>0.3289473684</v>
      </c>
      <c r="J22" s="23">
        <f t="shared" si="4"/>
        <v>13.92</v>
      </c>
      <c r="K22" s="53"/>
      <c r="L22" s="43"/>
      <c r="M22" s="43"/>
      <c r="N22" s="62"/>
      <c r="O22" s="62"/>
      <c r="P22" s="62"/>
      <c r="Q22" s="56"/>
      <c r="R22" s="57"/>
      <c r="S22" s="58"/>
      <c r="T22" s="57"/>
    </row>
    <row r="23">
      <c r="A23" s="18">
        <v>46040.0</v>
      </c>
      <c r="B23" s="59">
        <f>IFERROR(__xludf.DUMMYFUNCTION("""COMPUTED_VALUE"""),119.88)</f>
        <v>119.88</v>
      </c>
      <c r="C23" s="19"/>
      <c r="D23" s="33"/>
      <c r="E23" s="33"/>
      <c r="F23" s="19"/>
      <c r="G23" s="22">
        <f t="shared" si="1"/>
        <v>0</v>
      </c>
      <c r="H23" s="23">
        <f t="shared" si="2"/>
        <v>0</v>
      </c>
      <c r="I23" s="24">
        <f t="shared" si="3"/>
        <v>0</v>
      </c>
      <c r="J23" s="23">
        <f t="shared" si="4"/>
        <v>0</v>
      </c>
      <c r="K23" s="53"/>
      <c r="L23" s="43"/>
      <c r="M23" s="43"/>
      <c r="N23" s="62"/>
      <c r="O23" s="62"/>
      <c r="P23" s="62"/>
      <c r="Q23" s="56"/>
      <c r="R23" s="57"/>
      <c r="S23" s="58"/>
      <c r="T23" s="57"/>
    </row>
    <row r="24">
      <c r="A24" s="18">
        <v>46041.0</v>
      </c>
      <c r="B24" s="59">
        <f>IFERROR(__xludf.DUMMYFUNCTION("""COMPUTED_VALUE"""),109.58)</f>
        <v>109.58</v>
      </c>
      <c r="C24" s="19"/>
      <c r="D24" s="33"/>
      <c r="E24" s="33"/>
      <c r="F24" s="33"/>
      <c r="G24" s="22">
        <f t="shared" si="1"/>
        <v>0</v>
      </c>
      <c r="H24" s="23">
        <f t="shared" si="2"/>
        <v>0</v>
      </c>
      <c r="I24" s="24">
        <f t="shared" si="3"/>
        <v>0</v>
      </c>
      <c r="J24" s="23">
        <f t="shared" si="4"/>
        <v>0</v>
      </c>
      <c r="K24" s="53"/>
      <c r="L24" s="43"/>
      <c r="M24" s="43"/>
      <c r="N24" s="62"/>
      <c r="O24" s="62"/>
      <c r="P24" s="62"/>
      <c r="Q24" s="56"/>
      <c r="R24" s="57"/>
      <c r="S24" s="58"/>
      <c r="T24" s="57"/>
    </row>
    <row r="25">
      <c r="A25" s="18">
        <v>46042.0</v>
      </c>
      <c r="B25" s="59"/>
      <c r="C25" s="19"/>
      <c r="D25" s="33"/>
      <c r="E25" s="33"/>
      <c r="F25" s="33"/>
      <c r="G25" s="22">
        <f t="shared" si="1"/>
        <v>0</v>
      </c>
      <c r="H25" s="23">
        <f t="shared" si="2"/>
        <v>0</v>
      </c>
      <c r="I25" s="24">
        <f t="shared" si="3"/>
        <v>0</v>
      </c>
      <c r="J25" s="23">
        <f t="shared" si="4"/>
        <v>0</v>
      </c>
      <c r="K25" s="53"/>
      <c r="L25" s="43"/>
      <c r="M25" s="43"/>
      <c r="N25" s="62"/>
      <c r="O25" s="62"/>
      <c r="P25" s="62"/>
      <c r="Q25" s="56"/>
      <c r="R25" s="57"/>
      <c r="S25" s="58"/>
      <c r="T25" s="57"/>
    </row>
    <row r="26">
      <c r="A26" s="18">
        <v>46043.0</v>
      </c>
      <c r="B26" s="59"/>
      <c r="C26" s="19"/>
      <c r="D26" s="33"/>
      <c r="E26" s="33"/>
      <c r="F26" s="33"/>
      <c r="G26" s="22">
        <f t="shared" si="1"/>
        <v>0</v>
      </c>
      <c r="H26" s="23">
        <f t="shared" si="2"/>
        <v>0</v>
      </c>
      <c r="I26" s="24">
        <f t="shared" si="3"/>
        <v>0</v>
      </c>
      <c r="J26" s="23">
        <f t="shared" si="4"/>
        <v>0</v>
      </c>
      <c r="K26" s="53"/>
      <c r="L26" s="43"/>
      <c r="M26" s="43"/>
      <c r="N26" s="62"/>
      <c r="O26" s="62"/>
      <c r="P26" s="62"/>
      <c r="Q26" s="56"/>
      <c r="R26" s="57"/>
      <c r="S26" s="58"/>
      <c r="T26" s="57"/>
    </row>
    <row r="27">
      <c r="A27" s="18">
        <v>46044.0</v>
      </c>
      <c r="B27" s="59"/>
      <c r="C27" s="19"/>
      <c r="D27" s="33"/>
      <c r="E27" s="33"/>
      <c r="F27" s="33"/>
      <c r="G27" s="22">
        <f t="shared" si="1"/>
        <v>0</v>
      </c>
      <c r="H27" s="23">
        <f t="shared" si="2"/>
        <v>0</v>
      </c>
      <c r="I27" s="24">
        <f t="shared" si="3"/>
        <v>0</v>
      </c>
      <c r="J27" s="23">
        <f t="shared" si="4"/>
        <v>0</v>
      </c>
      <c r="K27" s="53"/>
      <c r="L27" s="43"/>
      <c r="M27" s="43"/>
      <c r="N27" s="62"/>
      <c r="O27" s="62"/>
      <c r="P27" s="62"/>
      <c r="Q27" s="56"/>
      <c r="R27" s="57"/>
      <c r="S27" s="58"/>
      <c r="T27" s="57"/>
    </row>
    <row r="28">
      <c r="A28" s="18">
        <v>46045.0</v>
      </c>
      <c r="B28" s="59"/>
      <c r="C28" s="19"/>
      <c r="D28" s="33"/>
      <c r="E28" s="33"/>
      <c r="F28" s="33"/>
      <c r="G28" s="22">
        <f t="shared" si="1"/>
        <v>0</v>
      </c>
      <c r="H28" s="23">
        <f t="shared" si="2"/>
        <v>0</v>
      </c>
      <c r="I28" s="24">
        <f t="shared" si="3"/>
        <v>0</v>
      </c>
      <c r="J28" s="23">
        <f t="shared" si="4"/>
        <v>0</v>
      </c>
      <c r="K28" s="53"/>
      <c r="L28" s="43"/>
      <c r="M28" s="43"/>
      <c r="N28" s="62"/>
      <c r="O28" s="62"/>
      <c r="P28" s="62"/>
      <c r="Q28" s="56"/>
      <c r="R28" s="57"/>
      <c r="S28" s="58"/>
      <c r="T28" s="57"/>
    </row>
    <row r="29">
      <c r="A29" s="18">
        <v>46046.0</v>
      </c>
      <c r="B29" s="59"/>
      <c r="C29" s="19"/>
      <c r="D29" s="33"/>
      <c r="E29" s="33"/>
      <c r="F29" s="33"/>
      <c r="G29" s="22">
        <f t="shared" si="1"/>
        <v>0</v>
      </c>
      <c r="H29" s="23">
        <f t="shared" si="2"/>
        <v>0</v>
      </c>
      <c r="I29" s="24">
        <f t="shared" si="3"/>
        <v>0</v>
      </c>
      <c r="J29" s="23">
        <f t="shared" si="4"/>
        <v>0</v>
      </c>
      <c r="K29" s="53"/>
      <c r="L29" s="43"/>
      <c r="M29" s="43"/>
      <c r="N29" s="62"/>
      <c r="O29" s="62"/>
      <c r="P29" s="62"/>
      <c r="Q29" s="56"/>
      <c r="R29" s="57"/>
      <c r="S29" s="58"/>
      <c r="T29" s="57"/>
    </row>
    <row r="30">
      <c r="A30" s="18">
        <v>46047.0</v>
      </c>
      <c r="B30" s="59"/>
      <c r="C30" s="19"/>
      <c r="D30" s="33"/>
      <c r="E30" s="33"/>
      <c r="F30" s="33"/>
      <c r="G30" s="22">
        <f t="shared" si="1"/>
        <v>0</v>
      </c>
      <c r="H30" s="23">
        <f t="shared" si="2"/>
        <v>0</v>
      </c>
      <c r="I30" s="24">
        <f t="shared" si="3"/>
        <v>0</v>
      </c>
      <c r="J30" s="23">
        <f t="shared" si="4"/>
        <v>0</v>
      </c>
      <c r="K30" s="53"/>
      <c r="L30" s="43"/>
      <c r="M30" s="43"/>
      <c r="N30" s="62"/>
      <c r="O30" s="62"/>
      <c r="P30" s="62"/>
      <c r="Q30" s="56"/>
      <c r="R30" s="57"/>
      <c r="S30" s="58"/>
      <c r="T30" s="57"/>
    </row>
    <row r="31">
      <c r="A31" s="18">
        <v>46048.0</v>
      </c>
      <c r="B31" s="59"/>
      <c r="C31" s="19"/>
      <c r="D31" s="33"/>
      <c r="E31" s="33"/>
      <c r="F31" s="33"/>
      <c r="G31" s="22">
        <f t="shared" si="1"/>
        <v>0</v>
      </c>
      <c r="H31" s="23">
        <f t="shared" si="2"/>
        <v>0</v>
      </c>
      <c r="I31" s="24">
        <f t="shared" si="3"/>
        <v>0</v>
      </c>
      <c r="J31" s="23">
        <f t="shared" si="4"/>
        <v>0</v>
      </c>
      <c r="K31" s="53"/>
      <c r="L31" s="43"/>
      <c r="M31" s="43"/>
      <c r="N31" s="62"/>
      <c r="O31" s="62"/>
      <c r="P31" s="62"/>
      <c r="Q31" s="56"/>
      <c r="R31" s="57"/>
      <c r="S31" s="58"/>
      <c r="T31" s="57"/>
    </row>
    <row r="32">
      <c r="A32" s="18">
        <v>46049.0</v>
      </c>
      <c r="B32" s="59"/>
      <c r="C32" s="19"/>
      <c r="D32" s="33"/>
      <c r="E32" s="33"/>
      <c r="F32" s="33"/>
      <c r="G32" s="22">
        <f t="shared" si="1"/>
        <v>0</v>
      </c>
      <c r="H32" s="23">
        <f t="shared" si="2"/>
        <v>0</v>
      </c>
      <c r="I32" s="24">
        <f t="shared" si="3"/>
        <v>0</v>
      </c>
      <c r="J32" s="23">
        <f t="shared" si="4"/>
        <v>0</v>
      </c>
      <c r="K32" s="53"/>
      <c r="L32" s="43"/>
      <c r="M32" s="43"/>
      <c r="N32" s="62"/>
      <c r="O32" s="62"/>
      <c r="P32" s="62"/>
      <c r="Q32" s="56"/>
      <c r="R32" s="57"/>
      <c r="S32" s="58"/>
      <c r="T32" s="57"/>
    </row>
    <row r="33">
      <c r="A33" s="18">
        <v>46050.0</v>
      </c>
      <c r="B33" s="59"/>
      <c r="C33" s="19"/>
      <c r="D33" s="19"/>
      <c r="E33" s="19"/>
      <c r="F33" s="19"/>
      <c r="G33" s="22">
        <f t="shared" si="1"/>
        <v>0</v>
      </c>
      <c r="H33" s="23">
        <f t="shared" si="2"/>
        <v>0</v>
      </c>
      <c r="I33" s="24">
        <f t="shared" si="3"/>
        <v>0</v>
      </c>
      <c r="J33" s="23">
        <f t="shared" si="4"/>
        <v>0</v>
      </c>
      <c r="K33" s="53"/>
      <c r="L33" s="43"/>
      <c r="M33" s="43"/>
      <c r="N33" s="62"/>
      <c r="O33" s="62"/>
      <c r="P33" s="62"/>
      <c r="Q33" s="56"/>
      <c r="R33" s="57"/>
      <c r="S33" s="58"/>
      <c r="T33" s="57"/>
    </row>
    <row r="34">
      <c r="A34" s="18">
        <v>46051.0</v>
      </c>
      <c r="B34" s="59"/>
      <c r="C34" s="19"/>
      <c r="D34" s="19"/>
      <c r="E34" s="19"/>
      <c r="F34" s="19"/>
      <c r="G34" s="22">
        <f t="shared" si="1"/>
        <v>0</v>
      </c>
      <c r="H34" s="23">
        <f t="shared" si="2"/>
        <v>0</v>
      </c>
      <c r="I34" s="24">
        <f t="shared" si="3"/>
        <v>0</v>
      </c>
      <c r="J34" s="23">
        <f t="shared" si="4"/>
        <v>0</v>
      </c>
      <c r="K34" s="53"/>
      <c r="L34" s="43"/>
      <c r="M34" s="43"/>
      <c r="N34" s="62"/>
      <c r="O34" s="62"/>
      <c r="P34" s="62"/>
      <c r="Q34" s="56"/>
      <c r="R34" s="57"/>
      <c r="S34" s="58"/>
      <c r="T34" s="57"/>
    </row>
    <row r="35">
      <c r="A35" s="18">
        <v>46052.0</v>
      </c>
      <c r="B35" s="59"/>
      <c r="C35" s="19"/>
      <c r="D35" s="19"/>
      <c r="E35" s="19"/>
      <c r="F35" s="19"/>
      <c r="G35" s="22">
        <f t="shared" si="1"/>
        <v>0</v>
      </c>
      <c r="H35" s="23">
        <f t="shared" si="2"/>
        <v>0</v>
      </c>
      <c r="I35" s="24">
        <f t="shared" si="3"/>
        <v>0</v>
      </c>
      <c r="J35" s="23">
        <f t="shared" si="4"/>
        <v>0</v>
      </c>
      <c r="K35" s="53"/>
      <c r="L35" s="43"/>
      <c r="M35" s="43"/>
      <c r="N35" s="62"/>
      <c r="O35" s="62"/>
      <c r="P35" s="62"/>
      <c r="Q35" s="56"/>
      <c r="R35" s="57"/>
      <c r="S35" s="58"/>
      <c r="T35" s="57"/>
    </row>
    <row r="36">
      <c r="A36" s="18">
        <v>46053.0</v>
      </c>
      <c r="B36" s="59"/>
      <c r="C36" s="19"/>
      <c r="G36" s="22">
        <f t="shared" si="1"/>
        <v>0</v>
      </c>
      <c r="H36" s="23">
        <f t="shared" si="2"/>
        <v>0</v>
      </c>
      <c r="I36" s="24">
        <f t="shared" si="3"/>
        <v>0</v>
      </c>
      <c r="J36" s="23">
        <f t="shared" si="4"/>
        <v>0</v>
      </c>
      <c r="K36" s="53"/>
      <c r="L36" s="43"/>
      <c r="M36" s="43"/>
      <c r="N36" s="62"/>
      <c r="O36" s="62"/>
      <c r="P36" s="62"/>
      <c r="Q36" s="56"/>
      <c r="R36" s="57"/>
      <c r="S36" s="58"/>
      <c r="T36" s="57"/>
    </row>
    <row r="37">
      <c r="A37" s="35" t="s">
        <v>14</v>
      </c>
      <c r="B37" s="35"/>
      <c r="C37" s="36">
        <f t="shared" ref="C37:F37" si="5">SUM(C6:C35)</f>
        <v>339.39</v>
      </c>
      <c r="D37" s="36">
        <f t="shared" si="5"/>
        <v>237</v>
      </c>
      <c r="E37" s="36">
        <f t="shared" si="5"/>
        <v>91</v>
      </c>
      <c r="F37" s="36">
        <f t="shared" si="5"/>
        <v>1</v>
      </c>
      <c r="G37" s="37">
        <f t="shared" si="1"/>
        <v>1.432025316</v>
      </c>
      <c r="H37" s="38">
        <f t="shared" si="2"/>
        <v>339.39</v>
      </c>
      <c r="I37" s="39">
        <f t="shared" si="3"/>
        <v>0.3839662447</v>
      </c>
      <c r="J37" s="64">
        <f t="shared" si="4"/>
        <v>33.939</v>
      </c>
      <c r="K37" s="65"/>
      <c r="L37" s="66"/>
      <c r="M37" s="66"/>
      <c r="N37" s="66"/>
      <c r="O37" s="66"/>
      <c r="P37" s="66"/>
      <c r="Q37" s="67"/>
      <c r="R37" s="68"/>
      <c r="S37" s="69"/>
      <c r="T37" s="68"/>
    </row>
    <row r="38">
      <c r="J38" s="43"/>
    </row>
    <row r="39">
      <c r="J39" s="43"/>
    </row>
    <row r="40">
      <c r="J40" s="43"/>
    </row>
    <row r="41">
      <c r="J41" s="43"/>
    </row>
    <row r="42">
      <c r="J42" s="43"/>
    </row>
    <row r="43">
      <c r="J43" s="43"/>
    </row>
    <row r="44">
      <c r="J44" s="43"/>
    </row>
  </sheetData>
  <mergeCells count="4">
    <mergeCell ref="A3:J3"/>
    <mergeCell ref="K3:T3"/>
    <mergeCell ref="A4:J4"/>
    <mergeCell ref="K4:T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19.57"/>
    <col customWidth="1" min="7" max="7" width="18.14"/>
  </cols>
  <sheetData>
    <row r="3">
      <c r="A3" s="70" t="s">
        <v>15</v>
      </c>
      <c r="B3" s="2"/>
      <c r="C3" s="2"/>
      <c r="D3" s="2"/>
      <c r="E3" s="2"/>
      <c r="F3" s="2"/>
      <c r="G3" s="2"/>
      <c r="H3" s="2"/>
      <c r="I3" s="2"/>
      <c r="J3" s="3"/>
      <c r="L3" s="6"/>
      <c r="M3" s="6"/>
      <c r="N3" s="6"/>
      <c r="O3" s="6"/>
    </row>
    <row r="4">
      <c r="A4" s="70">
        <v>7.59443220489882E14</v>
      </c>
      <c r="B4" s="2"/>
      <c r="C4" s="2"/>
      <c r="D4" s="2"/>
      <c r="E4" s="2"/>
      <c r="F4" s="2"/>
      <c r="G4" s="2"/>
      <c r="H4" s="2"/>
      <c r="I4" s="2"/>
      <c r="J4" s="3"/>
      <c r="L4" s="6"/>
      <c r="M4" s="6"/>
      <c r="N4" s="6"/>
      <c r="O4" s="6"/>
    </row>
    <row r="5">
      <c r="A5" s="9" t="s">
        <v>3</v>
      </c>
      <c r="B5" s="15" t="s">
        <v>12</v>
      </c>
      <c r="C5" s="9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1" t="s">
        <v>9</v>
      </c>
      <c r="I5" s="10" t="s">
        <v>10</v>
      </c>
      <c r="J5" s="45" t="s">
        <v>11</v>
      </c>
      <c r="L5" s="17"/>
      <c r="M5" s="17" t="str">
        <f>IFERROR(__xludf.DUMMYFUNCTION("ARRAYFORMULA(
  IFERROR(
    TRANSPOSE(
      IMPORTRANGE(
        ""1mLYr0R01Ye8tWsFhsIUhEyEhRjCr_h41JpFqzhMvE"",
        ""DailySpend_jan26!H1:AL1""
      )
    ),
  )
)
"),"")</f>
        <v/>
      </c>
      <c r="N5" s="17"/>
      <c r="O5" s="17"/>
    </row>
    <row r="6">
      <c r="A6" s="18">
        <v>46023.0</v>
      </c>
      <c r="B6" s="51" t="str">
        <f>IFERROR(__xludf.DUMMYFUNCTION("(IMPORTRANGE(""1eN5_hhUyg32yZHyoxUmLR3POg4pgiTVa-kjw1DYuCV8"", ""Январь!b2:b32""))"),"")</f>
        <v/>
      </c>
      <c r="C6" s="71">
        <f>IFERROR(__xludf.DUMMYFUNCTION("TRANSPOSE(IMPORTRANGE(""1mLYrOR0lYe8tWsFhslUhEyhEhRjCr_h4lljPfqzhMvE"", ""DailySpend_jan26!h1:al1""))
"),0.0)</f>
        <v>0</v>
      </c>
      <c r="D6" s="20">
        <v>0.0</v>
      </c>
      <c r="E6" s="20">
        <v>1.0</v>
      </c>
      <c r="F6" s="52">
        <v>0.0</v>
      </c>
      <c r="G6" s="22">
        <f t="shared" ref="G6:G37" si="1">IFERROR(C6/D6, 0)</f>
        <v>0</v>
      </c>
      <c r="H6" s="23">
        <f t="shared" ref="H6:H37" si="2">IFERROR(C6/F6, 0)</f>
        <v>0</v>
      </c>
      <c r="I6" s="24">
        <f t="shared" ref="I6:I37" si="3">IFERROR(E6/D6, 0)</f>
        <v>0</v>
      </c>
      <c r="J6" s="23">
        <f t="shared" ref="J6:J37" si="4">C6*0.1</f>
        <v>0</v>
      </c>
    </row>
    <row r="7">
      <c r="A7" s="18">
        <v>46024.0</v>
      </c>
      <c r="B7" s="59"/>
      <c r="C7" s="71">
        <f>IFERROR(__xludf.DUMMYFUNCTION("""COMPUTED_VALUE"""),0.0)</f>
        <v>0</v>
      </c>
      <c r="D7" s="52">
        <v>0.0</v>
      </c>
      <c r="E7" s="52">
        <v>1.0</v>
      </c>
      <c r="F7" s="52">
        <v>0.0</v>
      </c>
      <c r="G7" s="22">
        <f t="shared" si="1"/>
        <v>0</v>
      </c>
      <c r="H7" s="23">
        <f t="shared" si="2"/>
        <v>0</v>
      </c>
      <c r="I7" s="24">
        <f t="shared" si="3"/>
        <v>0</v>
      </c>
      <c r="J7" s="23">
        <f t="shared" si="4"/>
        <v>0</v>
      </c>
    </row>
    <row r="8">
      <c r="A8" s="18">
        <v>46025.0</v>
      </c>
      <c r="B8" s="59"/>
      <c r="C8" s="71">
        <f>IFERROR(__xludf.DUMMYFUNCTION("""COMPUTED_VALUE"""),0.0)</f>
        <v>0</v>
      </c>
      <c r="D8" s="52">
        <v>2.0</v>
      </c>
      <c r="E8" s="52">
        <v>0.0</v>
      </c>
      <c r="F8" s="52">
        <v>0.0</v>
      </c>
      <c r="G8" s="22">
        <f t="shared" si="1"/>
        <v>0</v>
      </c>
      <c r="H8" s="23">
        <f t="shared" si="2"/>
        <v>0</v>
      </c>
      <c r="I8" s="24">
        <f t="shared" si="3"/>
        <v>0</v>
      </c>
      <c r="J8" s="23">
        <f t="shared" si="4"/>
        <v>0</v>
      </c>
    </row>
    <row r="9">
      <c r="A9" s="18">
        <v>46026.0</v>
      </c>
      <c r="B9" s="59">
        <f>IFERROR(__xludf.DUMMYFUNCTION("""COMPUTED_VALUE"""),83.13)</f>
        <v>83.13</v>
      </c>
      <c r="C9" s="71">
        <f>IFERROR(__xludf.DUMMYFUNCTION("""COMPUTED_VALUE"""),83.13)</f>
        <v>83.13</v>
      </c>
      <c r="D9" s="52">
        <v>38.0</v>
      </c>
      <c r="E9" s="52">
        <v>23.0</v>
      </c>
      <c r="F9" s="52">
        <v>0.0</v>
      </c>
      <c r="G9" s="22">
        <f t="shared" si="1"/>
        <v>2.187631579</v>
      </c>
      <c r="H9" s="23">
        <f t="shared" si="2"/>
        <v>0</v>
      </c>
      <c r="I9" s="24">
        <f t="shared" si="3"/>
        <v>0.6052631579</v>
      </c>
      <c r="J9" s="23">
        <f t="shared" si="4"/>
        <v>8.313</v>
      </c>
    </row>
    <row r="10">
      <c r="A10" s="18">
        <v>46027.0</v>
      </c>
      <c r="B10" s="59">
        <f>IFERROR(__xludf.DUMMYFUNCTION("""COMPUTED_VALUE"""),96.18)</f>
        <v>96.18</v>
      </c>
      <c r="C10" s="71">
        <f>IFERROR(__xludf.DUMMYFUNCTION("""COMPUTED_VALUE"""),96.18)</f>
        <v>96.18</v>
      </c>
      <c r="D10" s="33">
        <v>37.0</v>
      </c>
      <c r="E10" s="33">
        <v>23.0</v>
      </c>
      <c r="F10" s="33">
        <v>0.0</v>
      </c>
      <c r="G10" s="22">
        <f t="shared" si="1"/>
        <v>2.599459459</v>
      </c>
      <c r="H10" s="23">
        <f t="shared" si="2"/>
        <v>0</v>
      </c>
      <c r="I10" s="24">
        <f t="shared" si="3"/>
        <v>0.6216216216</v>
      </c>
      <c r="J10" s="23">
        <f t="shared" si="4"/>
        <v>9.618</v>
      </c>
    </row>
    <row r="11">
      <c r="A11" s="18">
        <v>46028.0</v>
      </c>
      <c r="B11" s="59">
        <f>IFERROR(__xludf.DUMMYFUNCTION("""COMPUTED_VALUE"""),169.94)</f>
        <v>169.94</v>
      </c>
      <c r="C11" s="72">
        <f>IFERROR(__xludf.DUMMYFUNCTION("""COMPUTED_VALUE"""),169.95999999999998)</f>
        <v>169.96</v>
      </c>
      <c r="D11" s="33">
        <v>21.0</v>
      </c>
      <c r="E11" s="33">
        <v>9.0</v>
      </c>
      <c r="F11" s="33">
        <v>2.0</v>
      </c>
      <c r="G11" s="22">
        <f t="shared" si="1"/>
        <v>8.093333333</v>
      </c>
      <c r="H11" s="23">
        <f t="shared" si="2"/>
        <v>84.98</v>
      </c>
      <c r="I11" s="24">
        <f t="shared" si="3"/>
        <v>0.4285714286</v>
      </c>
      <c r="J11" s="23">
        <f t="shared" si="4"/>
        <v>16.996</v>
      </c>
    </row>
    <row r="12">
      <c r="A12" s="18">
        <v>46029.0</v>
      </c>
      <c r="B12" s="59"/>
      <c r="C12" s="71">
        <f>IFERROR(__xludf.DUMMYFUNCTION("""COMPUTED_VALUE"""),213.38)</f>
        <v>213.38</v>
      </c>
      <c r="D12" s="33">
        <v>70.0</v>
      </c>
      <c r="E12" s="33">
        <v>41.0</v>
      </c>
      <c r="F12" s="33">
        <v>0.0</v>
      </c>
      <c r="G12" s="22">
        <f t="shared" si="1"/>
        <v>3.048285714</v>
      </c>
      <c r="H12" s="23">
        <f t="shared" si="2"/>
        <v>0</v>
      </c>
      <c r="I12" s="24">
        <f t="shared" si="3"/>
        <v>0.5857142857</v>
      </c>
      <c r="J12" s="23">
        <f t="shared" si="4"/>
        <v>21.338</v>
      </c>
    </row>
    <row r="13">
      <c r="A13" s="18">
        <v>46030.0</v>
      </c>
      <c r="B13" s="59"/>
      <c r="C13" s="59">
        <f>IFERROR(__xludf.DUMMYFUNCTION("""COMPUTED_VALUE"""),126.47)</f>
        <v>126.47</v>
      </c>
      <c r="D13" s="33">
        <v>33.0</v>
      </c>
      <c r="E13" s="33">
        <v>16.0</v>
      </c>
      <c r="F13" s="33">
        <v>0.0</v>
      </c>
      <c r="G13" s="22">
        <f t="shared" si="1"/>
        <v>3.832424242</v>
      </c>
      <c r="H13" s="23">
        <f t="shared" si="2"/>
        <v>0</v>
      </c>
      <c r="I13" s="24">
        <f t="shared" si="3"/>
        <v>0.4848484848</v>
      </c>
      <c r="J13" s="23">
        <f t="shared" si="4"/>
        <v>12.647</v>
      </c>
    </row>
    <row r="14">
      <c r="A14" s="18">
        <v>46031.0</v>
      </c>
      <c r="B14" s="59"/>
      <c r="C14" s="71">
        <f>IFERROR(__xludf.DUMMYFUNCTION("""COMPUTED_VALUE"""),240.58)</f>
        <v>240.58</v>
      </c>
      <c r="D14" s="33">
        <v>26.0</v>
      </c>
      <c r="E14" s="33">
        <v>13.0</v>
      </c>
      <c r="F14" s="33">
        <v>0.0</v>
      </c>
      <c r="G14" s="22">
        <f t="shared" si="1"/>
        <v>9.253076923</v>
      </c>
      <c r="H14" s="23">
        <f t="shared" si="2"/>
        <v>0</v>
      </c>
      <c r="I14" s="24">
        <f t="shared" si="3"/>
        <v>0.5</v>
      </c>
      <c r="J14" s="23">
        <f t="shared" si="4"/>
        <v>24.058</v>
      </c>
    </row>
    <row r="15">
      <c r="A15" s="18">
        <v>46032.0</v>
      </c>
      <c r="B15" s="59"/>
      <c r="C15" s="71">
        <f>IFERROR(__xludf.DUMMYFUNCTION("""COMPUTED_VALUE"""),358.95)</f>
        <v>358.95</v>
      </c>
      <c r="D15" s="33">
        <v>107.0</v>
      </c>
      <c r="E15" s="33">
        <v>48.0</v>
      </c>
      <c r="F15" s="33">
        <v>0.0</v>
      </c>
      <c r="G15" s="22">
        <f t="shared" si="1"/>
        <v>3.354672897</v>
      </c>
      <c r="H15" s="23">
        <f t="shared" si="2"/>
        <v>0</v>
      </c>
      <c r="I15" s="24">
        <f t="shared" si="3"/>
        <v>0.4485981308</v>
      </c>
      <c r="J15" s="23">
        <f t="shared" si="4"/>
        <v>35.895</v>
      </c>
    </row>
    <row r="16">
      <c r="A16" s="18">
        <v>46033.0</v>
      </c>
      <c r="B16" s="59"/>
      <c r="C16" s="71">
        <f>IFERROR(__xludf.DUMMYFUNCTION("""COMPUTED_VALUE"""),83.6)</f>
        <v>83.6</v>
      </c>
      <c r="D16" s="33">
        <v>13.0</v>
      </c>
      <c r="E16" s="33">
        <v>10.0</v>
      </c>
      <c r="F16" s="33">
        <v>2.0</v>
      </c>
      <c r="G16" s="22">
        <f t="shared" si="1"/>
        <v>6.430769231</v>
      </c>
      <c r="H16" s="23">
        <f t="shared" si="2"/>
        <v>41.8</v>
      </c>
      <c r="I16" s="24">
        <f t="shared" si="3"/>
        <v>0.7692307692</v>
      </c>
      <c r="J16" s="23">
        <f t="shared" si="4"/>
        <v>8.36</v>
      </c>
    </row>
    <row r="17">
      <c r="A17" s="18">
        <v>46034.0</v>
      </c>
      <c r="B17" s="59"/>
      <c r="C17" s="71">
        <f>IFERROR(__xludf.DUMMYFUNCTION("""COMPUTED_VALUE"""),70.89)</f>
        <v>70.89</v>
      </c>
      <c r="D17" s="33">
        <v>6.0</v>
      </c>
      <c r="E17" s="33">
        <v>7.0</v>
      </c>
      <c r="F17" s="33">
        <v>2.0</v>
      </c>
      <c r="G17" s="22">
        <f t="shared" si="1"/>
        <v>11.815</v>
      </c>
      <c r="H17" s="23">
        <f t="shared" si="2"/>
        <v>35.445</v>
      </c>
      <c r="I17" s="24">
        <f t="shared" si="3"/>
        <v>1.166666667</v>
      </c>
      <c r="J17" s="23">
        <f t="shared" si="4"/>
        <v>7.089</v>
      </c>
    </row>
    <row r="18">
      <c r="A18" s="18">
        <v>46035.0</v>
      </c>
      <c r="B18" s="59"/>
      <c r="C18" s="71">
        <f>IFERROR(__xludf.DUMMYFUNCTION("""COMPUTED_VALUE"""),232.46)</f>
        <v>232.46</v>
      </c>
      <c r="D18" s="33">
        <v>37.0</v>
      </c>
      <c r="E18" s="33">
        <v>26.0</v>
      </c>
      <c r="F18" s="33">
        <v>0.0</v>
      </c>
      <c r="G18" s="22">
        <f t="shared" si="1"/>
        <v>6.282702703</v>
      </c>
      <c r="H18" s="23">
        <f t="shared" si="2"/>
        <v>0</v>
      </c>
      <c r="I18" s="24">
        <f t="shared" si="3"/>
        <v>0.7027027027</v>
      </c>
      <c r="J18" s="23">
        <f t="shared" si="4"/>
        <v>23.246</v>
      </c>
    </row>
    <row r="19">
      <c r="A19" s="18">
        <v>46036.0</v>
      </c>
      <c r="B19" s="59"/>
      <c r="C19" s="71">
        <f>IFERROR(__xludf.DUMMYFUNCTION("""COMPUTED_VALUE"""),81.42)</f>
        <v>81.42</v>
      </c>
      <c r="D19" s="33">
        <v>9.0</v>
      </c>
      <c r="E19" s="33">
        <v>7.0</v>
      </c>
      <c r="F19" s="33">
        <v>1.0</v>
      </c>
      <c r="G19" s="22">
        <f t="shared" si="1"/>
        <v>9.046666667</v>
      </c>
      <c r="H19" s="23">
        <f t="shared" si="2"/>
        <v>81.42</v>
      </c>
      <c r="I19" s="24">
        <f t="shared" si="3"/>
        <v>0.7777777778</v>
      </c>
      <c r="J19" s="23">
        <f t="shared" si="4"/>
        <v>8.142</v>
      </c>
    </row>
    <row r="20">
      <c r="A20" s="18">
        <v>46037.0</v>
      </c>
      <c r="B20" s="59"/>
      <c r="C20" s="71">
        <f>IFERROR(__xludf.DUMMYFUNCTION("""COMPUTED_VALUE"""),152.08)</f>
        <v>152.08</v>
      </c>
      <c r="D20" s="33">
        <v>21.0</v>
      </c>
      <c r="E20" s="33">
        <v>14.0</v>
      </c>
      <c r="F20" s="33">
        <v>2.0</v>
      </c>
      <c r="G20" s="22">
        <f t="shared" si="1"/>
        <v>7.241904762</v>
      </c>
      <c r="H20" s="23">
        <f t="shared" si="2"/>
        <v>76.04</v>
      </c>
      <c r="I20" s="24">
        <f t="shared" si="3"/>
        <v>0.6666666667</v>
      </c>
      <c r="J20" s="23">
        <f t="shared" si="4"/>
        <v>15.208</v>
      </c>
    </row>
    <row r="21">
      <c r="A21" s="18">
        <v>46038.0</v>
      </c>
      <c r="B21" s="59"/>
      <c r="C21" s="71">
        <f>IFERROR(__xludf.DUMMYFUNCTION("""COMPUTED_VALUE"""),204.26)</f>
        <v>204.26</v>
      </c>
      <c r="D21" s="33">
        <v>48.0</v>
      </c>
      <c r="E21" s="33">
        <v>22.0</v>
      </c>
      <c r="F21" s="33">
        <v>3.0</v>
      </c>
      <c r="G21" s="22">
        <f t="shared" si="1"/>
        <v>4.255416667</v>
      </c>
      <c r="H21" s="23">
        <f t="shared" si="2"/>
        <v>68.08666667</v>
      </c>
      <c r="I21" s="24">
        <f t="shared" si="3"/>
        <v>0.4583333333</v>
      </c>
      <c r="J21" s="23">
        <f t="shared" si="4"/>
        <v>20.426</v>
      </c>
    </row>
    <row r="22">
      <c r="A22" s="18">
        <v>46039.0</v>
      </c>
      <c r="B22" s="59"/>
      <c r="C22" s="71">
        <f>IFERROR(__xludf.DUMMYFUNCTION("""COMPUTED_VALUE"""),202.42)</f>
        <v>202.42</v>
      </c>
      <c r="D22" s="33">
        <v>44.0</v>
      </c>
      <c r="E22" s="33">
        <v>26.0</v>
      </c>
      <c r="F22" s="33">
        <v>2.0</v>
      </c>
      <c r="G22" s="22">
        <f t="shared" si="1"/>
        <v>4.600454545</v>
      </c>
      <c r="H22" s="23">
        <f t="shared" si="2"/>
        <v>101.21</v>
      </c>
      <c r="I22" s="24">
        <f t="shared" si="3"/>
        <v>0.5909090909</v>
      </c>
      <c r="J22" s="23">
        <f t="shared" si="4"/>
        <v>20.242</v>
      </c>
    </row>
    <row r="23">
      <c r="A23" s="18">
        <v>46040.0</v>
      </c>
      <c r="B23" s="59"/>
      <c r="C23" s="71">
        <f>IFERROR(__xludf.DUMMYFUNCTION("""COMPUTED_VALUE"""),142.76)</f>
        <v>142.76</v>
      </c>
      <c r="D23" s="33"/>
      <c r="E23" s="33"/>
      <c r="F23" s="19"/>
      <c r="G23" s="22">
        <f t="shared" si="1"/>
        <v>0</v>
      </c>
      <c r="H23" s="23">
        <f t="shared" si="2"/>
        <v>0</v>
      </c>
      <c r="I23" s="24">
        <f t="shared" si="3"/>
        <v>0</v>
      </c>
      <c r="J23" s="23">
        <f t="shared" si="4"/>
        <v>14.276</v>
      </c>
    </row>
    <row r="24">
      <c r="A24" s="18">
        <v>46041.0</v>
      </c>
      <c r="B24" s="59"/>
      <c r="C24" s="71">
        <f>IFERROR(__xludf.DUMMYFUNCTION("""COMPUTED_VALUE"""),113.42)</f>
        <v>113.42</v>
      </c>
      <c r="D24" s="33"/>
      <c r="E24" s="33"/>
      <c r="F24" s="33"/>
      <c r="G24" s="22">
        <f t="shared" si="1"/>
        <v>0</v>
      </c>
      <c r="H24" s="23">
        <f t="shared" si="2"/>
        <v>0</v>
      </c>
      <c r="I24" s="24">
        <f t="shared" si="3"/>
        <v>0</v>
      </c>
      <c r="J24" s="23">
        <f t="shared" si="4"/>
        <v>11.342</v>
      </c>
    </row>
    <row r="25">
      <c r="A25" s="18">
        <v>46042.0</v>
      </c>
      <c r="B25" s="59"/>
      <c r="C25" s="71">
        <f>IFERROR(__xludf.DUMMYFUNCTION("""COMPUTED_VALUE"""),80.52)</f>
        <v>80.52</v>
      </c>
      <c r="D25" s="33"/>
      <c r="E25" s="33"/>
      <c r="F25" s="33"/>
      <c r="G25" s="22">
        <f t="shared" si="1"/>
        <v>0</v>
      </c>
      <c r="H25" s="23">
        <f t="shared" si="2"/>
        <v>0</v>
      </c>
      <c r="I25" s="24">
        <f t="shared" si="3"/>
        <v>0</v>
      </c>
      <c r="J25" s="23">
        <f t="shared" si="4"/>
        <v>8.052</v>
      </c>
    </row>
    <row r="26">
      <c r="A26" s="18">
        <v>46043.0</v>
      </c>
      <c r="B26" s="59"/>
      <c r="C26" s="71">
        <f>IFERROR(__xludf.DUMMYFUNCTION("""COMPUTED_VALUE"""),0.0)</f>
        <v>0</v>
      </c>
      <c r="D26" s="33"/>
      <c r="E26" s="33"/>
      <c r="F26" s="33"/>
      <c r="G26" s="22">
        <f t="shared" si="1"/>
        <v>0</v>
      </c>
      <c r="H26" s="23">
        <f t="shared" si="2"/>
        <v>0</v>
      </c>
      <c r="I26" s="24">
        <f t="shared" si="3"/>
        <v>0</v>
      </c>
      <c r="J26" s="23">
        <f t="shared" si="4"/>
        <v>0</v>
      </c>
    </row>
    <row r="27">
      <c r="A27" s="18">
        <v>46044.0</v>
      </c>
      <c r="B27" s="59"/>
      <c r="C27" s="71">
        <f>IFERROR(__xludf.DUMMYFUNCTION("""COMPUTED_VALUE"""),0.0)</f>
        <v>0</v>
      </c>
      <c r="D27" s="33"/>
      <c r="E27" s="33"/>
      <c r="F27" s="33"/>
      <c r="G27" s="22">
        <f t="shared" si="1"/>
        <v>0</v>
      </c>
      <c r="H27" s="23">
        <f t="shared" si="2"/>
        <v>0</v>
      </c>
      <c r="I27" s="24">
        <f t="shared" si="3"/>
        <v>0</v>
      </c>
      <c r="J27" s="23">
        <f t="shared" si="4"/>
        <v>0</v>
      </c>
    </row>
    <row r="28">
      <c r="A28" s="18">
        <v>46045.0</v>
      </c>
      <c r="B28" s="59"/>
      <c r="C28" s="71">
        <f>IFERROR(__xludf.DUMMYFUNCTION("""COMPUTED_VALUE"""),0.0)</f>
        <v>0</v>
      </c>
      <c r="D28" s="33"/>
      <c r="E28" s="33"/>
      <c r="F28" s="33"/>
      <c r="G28" s="22">
        <f t="shared" si="1"/>
        <v>0</v>
      </c>
      <c r="H28" s="23">
        <f t="shared" si="2"/>
        <v>0</v>
      </c>
      <c r="I28" s="24">
        <f t="shared" si="3"/>
        <v>0</v>
      </c>
      <c r="J28" s="23">
        <f t="shared" si="4"/>
        <v>0</v>
      </c>
    </row>
    <row r="29">
      <c r="A29" s="18">
        <v>46046.0</v>
      </c>
      <c r="B29" s="59"/>
      <c r="C29" s="71">
        <f>IFERROR(__xludf.DUMMYFUNCTION("""COMPUTED_VALUE"""),0.0)</f>
        <v>0</v>
      </c>
      <c r="D29" s="33"/>
      <c r="E29" s="33"/>
      <c r="F29" s="33"/>
      <c r="G29" s="22">
        <f t="shared" si="1"/>
        <v>0</v>
      </c>
      <c r="H29" s="23">
        <f t="shared" si="2"/>
        <v>0</v>
      </c>
      <c r="I29" s="24">
        <f t="shared" si="3"/>
        <v>0</v>
      </c>
      <c r="J29" s="23">
        <f t="shared" si="4"/>
        <v>0</v>
      </c>
    </row>
    <row r="30">
      <c r="A30" s="18">
        <v>46047.0</v>
      </c>
      <c r="B30" s="59"/>
      <c r="C30" s="71">
        <f>IFERROR(__xludf.DUMMYFUNCTION("""COMPUTED_VALUE"""),0.0)</f>
        <v>0</v>
      </c>
      <c r="D30" s="33"/>
      <c r="E30" s="33"/>
      <c r="F30" s="33"/>
      <c r="G30" s="22">
        <f t="shared" si="1"/>
        <v>0</v>
      </c>
      <c r="H30" s="23">
        <f t="shared" si="2"/>
        <v>0</v>
      </c>
      <c r="I30" s="24">
        <f t="shared" si="3"/>
        <v>0</v>
      </c>
      <c r="J30" s="23">
        <f t="shared" si="4"/>
        <v>0</v>
      </c>
    </row>
    <row r="31">
      <c r="A31" s="18">
        <v>46048.0</v>
      </c>
      <c r="B31" s="59"/>
      <c r="C31" s="71">
        <f>IFERROR(__xludf.DUMMYFUNCTION("""COMPUTED_VALUE"""),0.0)</f>
        <v>0</v>
      </c>
      <c r="D31" s="33"/>
      <c r="E31" s="33"/>
      <c r="F31" s="33"/>
      <c r="G31" s="22">
        <f t="shared" si="1"/>
        <v>0</v>
      </c>
      <c r="H31" s="23">
        <f t="shared" si="2"/>
        <v>0</v>
      </c>
      <c r="I31" s="24">
        <f t="shared" si="3"/>
        <v>0</v>
      </c>
      <c r="J31" s="23">
        <f t="shared" si="4"/>
        <v>0</v>
      </c>
    </row>
    <row r="32">
      <c r="A32" s="18">
        <v>46049.0</v>
      </c>
      <c r="B32" s="59"/>
      <c r="C32" s="71">
        <f>IFERROR(__xludf.DUMMYFUNCTION("""COMPUTED_VALUE"""),0.0)</f>
        <v>0</v>
      </c>
      <c r="D32" s="33"/>
      <c r="E32" s="33"/>
      <c r="F32" s="33"/>
      <c r="G32" s="22">
        <f t="shared" si="1"/>
        <v>0</v>
      </c>
      <c r="H32" s="23">
        <f t="shared" si="2"/>
        <v>0</v>
      </c>
      <c r="I32" s="24">
        <f t="shared" si="3"/>
        <v>0</v>
      </c>
      <c r="J32" s="23">
        <f t="shared" si="4"/>
        <v>0</v>
      </c>
    </row>
    <row r="33">
      <c r="A33" s="18">
        <v>46050.0</v>
      </c>
      <c r="B33" s="59"/>
      <c r="C33" s="71">
        <f>IFERROR(__xludf.DUMMYFUNCTION("""COMPUTED_VALUE"""),0.0)</f>
        <v>0</v>
      </c>
      <c r="D33" s="19"/>
      <c r="E33" s="19"/>
      <c r="F33" s="19"/>
      <c r="G33" s="22">
        <f t="shared" si="1"/>
        <v>0</v>
      </c>
      <c r="H33" s="23">
        <f t="shared" si="2"/>
        <v>0</v>
      </c>
      <c r="I33" s="24">
        <f t="shared" si="3"/>
        <v>0</v>
      </c>
      <c r="J33" s="23">
        <f t="shared" si="4"/>
        <v>0</v>
      </c>
    </row>
    <row r="34">
      <c r="A34" s="18">
        <v>46051.0</v>
      </c>
      <c r="B34" s="59"/>
      <c r="C34" s="71">
        <f>IFERROR(__xludf.DUMMYFUNCTION("""COMPUTED_VALUE"""),0.0)</f>
        <v>0</v>
      </c>
      <c r="D34" s="19"/>
      <c r="E34" s="19"/>
      <c r="F34" s="19"/>
      <c r="G34" s="22">
        <f t="shared" si="1"/>
        <v>0</v>
      </c>
      <c r="H34" s="23">
        <f t="shared" si="2"/>
        <v>0</v>
      </c>
      <c r="I34" s="24">
        <f t="shared" si="3"/>
        <v>0</v>
      </c>
      <c r="J34" s="23">
        <f t="shared" si="4"/>
        <v>0</v>
      </c>
    </row>
    <row r="35">
      <c r="A35" s="18">
        <v>46052.0</v>
      </c>
      <c r="B35" s="59"/>
      <c r="C35" s="71">
        <f>IFERROR(__xludf.DUMMYFUNCTION("""COMPUTED_VALUE"""),0.0)</f>
        <v>0</v>
      </c>
      <c r="D35" s="19"/>
      <c r="E35" s="19"/>
      <c r="F35" s="19"/>
      <c r="G35" s="22">
        <f t="shared" si="1"/>
        <v>0</v>
      </c>
      <c r="H35" s="23">
        <f t="shared" si="2"/>
        <v>0</v>
      </c>
      <c r="I35" s="24">
        <f t="shared" si="3"/>
        <v>0</v>
      </c>
      <c r="J35" s="23">
        <f t="shared" si="4"/>
        <v>0</v>
      </c>
    </row>
    <row r="36">
      <c r="A36" s="18">
        <v>46053.0</v>
      </c>
      <c r="B36" s="59"/>
      <c r="C36" s="71">
        <f>IFERROR(__xludf.DUMMYFUNCTION("""COMPUTED_VALUE"""),0.0)</f>
        <v>0</v>
      </c>
      <c r="G36" s="22">
        <f t="shared" si="1"/>
        <v>0</v>
      </c>
      <c r="H36" s="23">
        <f t="shared" si="2"/>
        <v>0</v>
      </c>
      <c r="I36" s="24">
        <f t="shared" si="3"/>
        <v>0</v>
      </c>
      <c r="J36" s="23">
        <f t="shared" si="4"/>
        <v>0</v>
      </c>
    </row>
    <row r="37">
      <c r="A37" s="35" t="s">
        <v>14</v>
      </c>
      <c r="B37" s="35"/>
      <c r="C37" s="73">
        <f t="shared" ref="C37:F37" si="5">SUM(C6:C35)</f>
        <v>2652.48</v>
      </c>
      <c r="D37" s="36">
        <f t="shared" si="5"/>
        <v>512</v>
      </c>
      <c r="E37" s="36">
        <f t="shared" si="5"/>
        <v>287</v>
      </c>
      <c r="F37" s="36">
        <f t="shared" si="5"/>
        <v>14</v>
      </c>
      <c r="G37" s="37">
        <f t="shared" si="1"/>
        <v>5.180625</v>
      </c>
      <c r="H37" s="38">
        <f t="shared" si="2"/>
        <v>189.4628571</v>
      </c>
      <c r="I37" s="39">
        <f t="shared" si="3"/>
        <v>0.560546875</v>
      </c>
      <c r="J37" s="64">
        <f t="shared" si="4"/>
        <v>265.248</v>
      </c>
    </row>
  </sheetData>
  <mergeCells count="2">
    <mergeCell ref="A3:J3"/>
    <mergeCell ref="A4:J4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6" max="6" width="18.14"/>
    <col customWidth="1" min="18" max="18" width="17.86"/>
  </cols>
  <sheetData>
    <row r="3">
      <c r="A3" s="70" t="s">
        <v>0</v>
      </c>
      <c r="B3" s="2"/>
      <c r="C3" s="2"/>
      <c r="D3" s="2"/>
      <c r="E3" s="2"/>
      <c r="F3" s="2"/>
      <c r="G3" s="2"/>
      <c r="H3" s="3"/>
      <c r="I3" s="19"/>
      <c r="K3" s="70" t="s">
        <v>1</v>
      </c>
      <c r="L3" s="2"/>
      <c r="M3" s="2"/>
      <c r="N3" s="2"/>
      <c r="O3" s="2"/>
      <c r="P3" s="2"/>
      <c r="Q3" s="2"/>
      <c r="R3" s="3"/>
      <c r="S3" s="19"/>
      <c r="U3" s="70" t="s">
        <v>16</v>
      </c>
      <c r="V3" s="2"/>
      <c r="W3" s="2"/>
      <c r="X3" s="2"/>
      <c r="Y3" s="2"/>
      <c r="Z3" s="2"/>
      <c r="AA3" s="3"/>
      <c r="AB3" s="6"/>
      <c r="AC3" s="70" t="s">
        <v>17</v>
      </c>
      <c r="AD3" s="2"/>
      <c r="AE3" s="2"/>
      <c r="AF3" s="2"/>
      <c r="AG3" s="2"/>
      <c r="AH3" s="2"/>
      <c r="AI3" s="3"/>
      <c r="AJ3" s="6"/>
      <c r="AK3" s="70" t="s">
        <v>18</v>
      </c>
      <c r="AL3" s="2"/>
      <c r="AM3" s="2"/>
      <c r="AN3" s="2"/>
      <c r="AO3" s="2"/>
      <c r="AP3" s="2"/>
      <c r="AQ3" s="3"/>
      <c r="AR3" s="6"/>
      <c r="AS3" s="6"/>
      <c r="AT3" s="6"/>
      <c r="AU3" s="6"/>
      <c r="AV3" s="6"/>
      <c r="AW3" s="6"/>
      <c r="AX3" s="6"/>
      <c r="AY3" s="6"/>
      <c r="AZ3" s="6"/>
    </row>
    <row r="4">
      <c r="A4" s="70" t="s">
        <v>2</v>
      </c>
      <c r="B4" s="2"/>
      <c r="C4" s="2"/>
      <c r="D4" s="2"/>
      <c r="E4" s="2"/>
      <c r="F4" s="2"/>
      <c r="G4" s="2"/>
      <c r="H4" s="3"/>
      <c r="I4" s="19"/>
      <c r="K4" s="70" t="s">
        <v>2</v>
      </c>
      <c r="L4" s="2"/>
      <c r="M4" s="2"/>
      <c r="N4" s="2"/>
      <c r="O4" s="2"/>
      <c r="P4" s="2"/>
      <c r="Q4" s="2"/>
      <c r="R4" s="3"/>
      <c r="S4" s="19"/>
      <c r="U4" s="70" t="s">
        <v>2</v>
      </c>
      <c r="V4" s="2"/>
      <c r="W4" s="2"/>
      <c r="X4" s="2"/>
      <c r="Y4" s="2"/>
      <c r="Z4" s="2"/>
      <c r="AA4" s="3"/>
      <c r="AB4" s="6"/>
      <c r="AC4" s="70" t="s">
        <v>2</v>
      </c>
      <c r="AD4" s="2"/>
      <c r="AE4" s="2"/>
      <c r="AF4" s="2"/>
      <c r="AG4" s="2"/>
      <c r="AH4" s="2"/>
      <c r="AI4" s="3"/>
      <c r="AJ4" s="6"/>
      <c r="AK4" s="70" t="s">
        <v>2</v>
      </c>
      <c r="AL4" s="2"/>
      <c r="AM4" s="2"/>
      <c r="AN4" s="2"/>
      <c r="AO4" s="2"/>
      <c r="AP4" s="2"/>
      <c r="AQ4" s="3"/>
      <c r="AR4" s="6"/>
      <c r="AS4" s="6"/>
      <c r="AT4" s="6"/>
      <c r="AU4" s="6"/>
      <c r="AV4" s="6"/>
      <c r="AW4" s="6"/>
      <c r="AX4" s="6"/>
      <c r="AY4" s="6"/>
      <c r="AZ4" s="6"/>
    </row>
    <row r="5">
      <c r="A5" s="74" t="s">
        <v>3</v>
      </c>
      <c r="B5" s="74" t="s">
        <v>4</v>
      </c>
      <c r="C5" s="75" t="s">
        <v>5</v>
      </c>
      <c r="D5" s="75" t="s">
        <v>6</v>
      </c>
      <c r="E5" s="75" t="s">
        <v>7</v>
      </c>
      <c r="F5" s="75" t="s">
        <v>8</v>
      </c>
      <c r="G5" s="76" t="s">
        <v>9</v>
      </c>
      <c r="H5" s="75" t="s">
        <v>10</v>
      </c>
      <c r="I5" s="45" t="s">
        <v>11</v>
      </c>
      <c r="K5" s="9" t="s">
        <v>3</v>
      </c>
      <c r="L5" s="9" t="s">
        <v>4</v>
      </c>
      <c r="M5" s="10" t="s">
        <v>5</v>
      </c>
      <c r="N5" s="10" t="s">
        <v>6</v>
      </c>
      <c r="O5" s="10" t="s">
        <v>7</v>
      </c>
      <c r="P5" s="10" t="s">
        <v>8</v>
      </c>
      <c r="Q5" s="11" t="s">
        <v>9</v>
      </c>
      <c r="R5" s="11" t="s">
        <v>13</v>
      </c>
      <c r="S5" s="16" t="s">
        <v>11</v>
      </c>
      <c r="U5" s="9" t="s">
        <v>3</v>
      </c>
      <c r="V5" s="9" t="s">
        <v>4</v>
      </c>
      <c r="W5" s="10" t="s">
        <v>5</v>
      </c>
      <c r="X5" s="10" t="s">
        <v>6</v>
      </c>
      <c r="Y5" s="10" t="s">
        <v>7</v>
      </c>
      <c r="Z5" s="10" t="s">
        <v>8</v>
      </c>
      <c r="AA5" s="10" t="s">
        <v>10</v>
      </c>
      <c r="AB5" s="17"/>
      <c r="AC5" s="9" t="s">
        <v>3</v>
      </c>
      <c r="AD5" s="9" t="s">
        <v>4</v>
      </c>
      <c r="AE5" s="10" t="s">
        <v>5</v>
      </c>
      <c r="AF5" s="10" t="s">
        <v>6</v>
      </c>
      <c r="AG5" s="10" t="s">
        <v>7</v>
      </c>
      <c r="AH5" s="10" t="s">
        <v>8</v>
      </c>
      <c r="AI5" s="10" t="s">
        <v>10</v>
      </c>
      <c r="AJ5" s="17"/>
      <c r="AK5" s="9" t="s">
        <v>3</v>
      </c>
      <c r="AL5" s="9" t="s">
        <v>4</v>
      </c>
      <c r="AM5" s="10" t="s">
        <v>5</v>
      </c>
      <c r="AN5" s="10" t="s">
        <v>6</v>
      </c>
      <c r="AO5" s="10" t="s">
        <v>7</v>
      </c>
      <c r="AP5" s="10" t="s">
        <v>8</v>
      </c>
      <c r="AQ5" s="10" t="s">
        <v>10</v>
      </c>
      <c r="AR5" s="17"/>
      <c r="AS5" s="17"/>
      <c r="AT5" s="17"/>
      <c r="AU5" s="17"/>
      <c r="AV5" s="17"/>
      <c r="AW5" s="17"/>
      <c r="AX5" s="17"/>
      <c r="AY5" s="17"/>
      <c r="AZ5" s="17"/>
    </row>
    <row r="6">
      <c r="A6" s="18">
        <v>45992.0</v>
      </c>
      <c r="B6" s="77">
        <v>305.58</v>
      </c>
      <c r="C6" s="78">
        <v>96.0</v>
      </c>
      <c r="D6" s="78">
        <v>46.0</v>
      </c>
      <c r="E6" s="79">
        <v>6.0</v>
      </c>
      <c r="F6" s="80">
        <f t="shared" ref="F6:F8" si="1">B6/C6</f>
        <v>3.183125</v>
      </c>
      <c r="G6" s="80">
        <f t="shared" ref="G6:G8" si="2">B6/E6</f>
        <v>50.93</v>
      </c>
      <c r="H6" s="80">
        <f t="shared" ref="H6:H8" si="3">D6/C6*100</f>
        <v>47.91666667</v>
      </c>
      <c r="I6" s="80">
        <f t="shared" ref="I6:I37" si="4">B6*0.12</f>
        <v>36.6696</v>
      </c>
      <c r="K6" s="18">
        <v>45992.0</v>
      </c>
      <c r="L6" s="81">
        <f>152.98+15.57+82.88</f>
        <v>251.43</v>
      </c>
      <c r="M6" s="29">
        <v>81.0</v>
      </c>
      <c r="N6" s="29">
        <v>41.0</v>
      </c>
      <c r="O6" s="29">
        <v>4.0</v>
      </c>
      <c r="P6" s="22">
        <f t="shared" ref="P6:P37" si="5">L6/M6</f>
        <v>3.104074074</v>
      </c>
      <c r="Q6" s="23">
        <f>L6/O6</f>
        <v>62.8575</v>
      </c>
      <c r="R6" s="23">
        <f t="shared" ref="R6:R37" si="6">N6/M6*100</f>
        <v>50.61728395</v>
      </c>
      <c r="S6" s="23">
        <f t="shared" ref="S6:S36" si="7">L6*0.1</f>
        <v>25.143</v>
      </c>
      <c r="U6" s="18">
        <v>45962.0</v>
      </c>
      <c r="V6" s="19"/>
      <c r="W6" s="19"/>
      <c r="X6" s="19"/>
      <c r="Y6" s="19"/>
      <c r="Z6" s="19"/>
      <c r="AA6" s="19"/>
      <c r="AC6" s="18">
        <v>45962.0</v>
      </c>
      <c r="AD6" s="19"/>
      <c r="AE6" s="19"/>
      <c r="AF6" s="19"/>
      <c r="AG6" s="19"/>
      <c r="AH6" s="19"/>
      <c r="AI6" s="19"/>
      <c r="AK6" s="18">
        <v>45962.0</v>
      </c>
      <c r="AL6" s="19"/>
      <c r="AM6" s="19"/>
      <c r="AN6" s="19"/>
      <c r="AO6" s="19"/>
      <c r="AP6" s="19"/>
      <c r="AQ6" s="19"/>
    </row>
    <row r="7">
      <c r="A7" s="18">
        <v>45993.0</v>
      </c>
      <c r="B7" s="77">
        <v>296.7</v>
      </c>
      <c r="C7" s="79">
        <v>92.0</v>
      </c>
      <c r="D7" s="79">
        <v>41.0</v>
      </c>
      <c r="E7" s="79">
        <v>1.0</v>
      </c>
      <c r="F7" s="80">
        <f t="shared" si="1"/>
        <v>3.225</v>
      </c>
      <c r="G7" s="80">
        <f t="shared" si="2"/>
        <v>296.7</v>
      </c>
      <c r="H7" s="80">
        <f t="shared" si="3"/>
        <v>44.56521739</v>
      </c>
      <c r="I7" s="80">
        <f t="shared" si="4"/>
        <v>35.604</v>
      </c>
      <c r="K7" s="18">
        <v>45993.0</v>
      </c>
      <c r="L7" s="82">
        <f>109.68+106.98+125.39</f>
        <v>342.05</v>
      </c>
      <c r="M7" s="29">
        <v>146.0</v>
      </c>
      <c r="N7" s="29">
        <v>56.0</v>
      </c>
      <c r="O7" s="29">
        <v>0.0</v>
      </c>
      <c r="P7" s="22">
        <f t="shared" si="5"/>
        <v>2.342808219</v>
      </c>
      <c r="Q7" s="83">
        <v>0.0</v>
      </c>
      <c r="R7" s="23">
        <f t="shared" si="6"/>
        <v>38.35616438</v>
      </c>
      <c r="S7" s="23">
        <f t="shared" si="7"/>
        <v>34.205</v>
      </c>
      <c r="U7" s="18">
        <v>45963.0</v>
      </c>
      <c r="V7" s="19"/>
      <c r="W7" s="19"/>
      <c r="X7" s="19"/>
      <c r="Y7" s="19"/>
      <c r="Z7" s="19"/>
      <c r="AA7" s="19"/>
      <c r="AC7" s="18">
        <v>45963.0</v>
      </c>
      <c r="AD7" s="19"/>
      <c r="AE7" s="19"/>
      <c r="AF7" s="19"/>
      <c r="AG7" s="19"/>
      <c r="AH7" s="19"/>
      <c r="AI7" s="19"/>
      <c r="AK7" s="18">
        <v>45963.0</v>
      </c>
      <c r="AL7" s="19"/>
      <c r="AM7" s="19"/>
      <c r="AN7" s="19"/>
      <c r="AO7" s="19"/>
      <c r="AP7" s="19"/>
      <c r="AQ7" s="19"/>
      <c r="AV7" s="30"/>
    </row>
    <row r="8">
      <c r="A8" s="18">
        <v>45994.0</v>
      </c>
      <c r="B8" s="77">
        <v>165.51</v>
      </c>
      <c r="C8" s="79">
        <v>63.0</v>
      </c>
      <c r="D8" s="79">
        <v>33.0</v>
      </c>
      <c r="E8" s="79">
        <v>6.0</v>
      </c>
      <c r="F8" s="80">
        <f t="shared" si="1"/>
        <v>2.627142857</v>
      </c>
      <c r="G8" s="80">
        <f t="shared" si="2"/>
        <v>27.585</v>
      </c>
      <c r="H8" s="80">
        <f t="shared" si="3"/>
        <v>52.38095238</v>
      </c>
      <c r="I8" s="80">
        <f t="shared" si="4"/>
        <v>19.8612</v>
      </c>
      <c r="K8" s="18">
        <v>45994.0</v>
      </c>
      <c r="L8" s="81">
        <f>72.52+72.49+164.71</f>
        <v>309.72</v>
      </c>
      <c r="M8" s="31">
        <v>120.0</v>
      </c>
      <c r="N8" s="31">
        <v>61.0</v>
      </c>
      <c r="O8" s="31">
        <v>3.0</v>
      </c>
      <c r="P8" s="22">
        <f t="shared" si="5"/>
        <v>2.581</v>
      </c>
      <c r="Q8" s="23">
        <f t="shared" ref="Q8:Q13" si="8">L8/O8</f>
        <v>103.24</v>
      </c>
      <c r="R8" s="23">
        <f t="shared" si="6"/>
        <v>50.83333333</v>
      </c>
      <c r="S8" s="23">
        <f t="shared" si="7"/>
        <v>30.972</v>
      </c>
      <c r="U8" s="18">
        <v>45964.0</v>
      </c>
      <c r="V8" s="19"/>
      <c r="W8" s="19"/>
      <c r="X8" s="19"/>
      <c r="Y8" s="19"/>
      <c r="Z8" s="19"/>
      <c r="AA8" s="19"/>
      <c r="AC8" s="18">
        <v>45964.0</v>
      </c>
      <c r="AD8" s="19"/>
      <c r="AE8" s="19"/>
      <c r="AF8" s="19"/>
      <c r="AG8" s="19"/>
      <c r="AH8" s="19"/>
      <c r="AI8" s="19"/>
      <c r="AK8" s="18">
        <v>45964.0</v>
      </c>
      <c r="AL8" s="19"/>
      <c r="AM8" s="19"/>
      <c r="AN8" s="19"/>
      <c r="AO8" s="19"/>
      <c r="AP8" s="19"/>
      <c r="AQ8" s="19"/>
      <c r="AV8" s="30"/>
    </row>
    <row r="9">
      <c r="A9" s="18">
        <v>45995.0</v>
      </c>
      <c r="B9" s="79">
        <v>0.0</v>
      </c>
      <c r="C9" s="79"/>
      <c r="D9" s="79">
        <v>5.0</v>
      </c>
      <c r="E9" s="79"/>
      <c r="F9" s="80"/>
      <c r="G9" s="80"/>
      <c r="H9" s="80"/>
      <c r="I9" s="80">
        <f t="shared" si="4"/>
        <v>0</v>
      </c>
      <c r="K9" s="18">
        <v>45995.0</v>
      </c>
      <c r="L9" s="81">
        <f>141.69+43.65+184.03</f>
        <v>369.37</v>
      </c>
      <c r="M9" s="31">
        <v>152.0</v>
      </c>
      <c r="N9" s="31">
        <v>63.0</v>
      </c>
      <c r="O9" s="31">
        <v>5.0</v>
      </c>
      <c r="P9" s="22">
        <f t="shared" si="5"/>
        <v>2.430065789</v>
      </c>
      <c r="Q9" s="23">
        <f t="shared" si="8"/>
        <v>73.874</v>
      </c>
      <c r="R9" s="23">
        <f t="shared" si="6"/>
        <v>41.44736842</v>
      </c>
      <c r="S9" s="23">
        <f t="shared" si="7"/>
        <v>36.937</v>
      </c>
      <c r="U9" s="18">
        <v>45965.0</v>
      </c>
      <c r="V9" s="19"/>
      <c r="W9" s="19"/>
      <c r="X9" s="19"/>
      <c r="Y9" s="19"/>
      <c r="Z9" s="19"/>
      <c r="AA9" s="19"/>
      <c r="AC9" s="18">
        <v>45965.0</v>
      </c>
      <c r="AD9" s="19"/>
      <c r="AE9" s="19"/>
      <c r="AF9" s="19"/>
      <c r="AG9" s="19"/>
      <c r="AH9" s="19"/>
      <c r="AI9" s="19"/>
      <c r="AK9" s="18">
        <v>45965.0</v>
      </c>
      <c r="AL9" s="19"/>
      <c r="AM9" s="19"/>
      <c r="AN9" s="19"/>
      <c r="AO9" s="19"/>
      <c r="AP9" s="19"/>
      <c r="AQ9" s="19"/>
      <c r="AV9" s="30"/>
    </row>
    <row r="10">
      <c r="A10" s="18">
        <v>45996.0</v>
      </c>
      <c r="B10" s="79">
        <v>0.0</v>
      </c>
      <c r="C10" s="84"/>
      <c r="D10" s="79">
        <v>2.0</v>
      </c>
      <c r="E10" s="79">
        <v>1.0</v>
      </c>
      <c r="F10" s="80"/>
      <c r="G10" s="80"/>
      <c r="H10" s="80"/>
      <c r="I10" s="80">
        <f t="shared" si="4"/>
        <v>0</v>
      </c>
      <c r="K10" s="18">
        <v>45996.0</v>
      </c>
      <c r="L10" s="81">
        <f>179.4+106.68+71.73</f>
        <v>357.81</v>
      </c>
      <c r="M10" s="31">
        <v>95.0</v>
      </c>
      <c r="N10" s="31">
        <v>44.0</v>
      </c>
      <c r="O10" s="31">
        <v>2.0</v>
      </c>
      <c r="P10" s="22">
        <f t="shared" si="5"/>
        <v>3.766421053</v>
      </c>
      <c r="Q10" s="23">
        <f t="shared" si="8"/>
        <v>178.905</v>
      </c>
      <c r="R10" s="23">
        <f t="shared" si="6"/>
        <v>46.31578947</v>
      </c>
      <c r="S10" s="23">
        <f t="shared" si="7"/>
        <v>35.781</v>
      </c>
      <c r="U10" s="18">
        <v>45966.0</v>
      </c>
      <c r="V10" s="19"/>
      <c r="W10" s="19"/>
      <c r="X10" s="19"/>
      <c r="Y10" s="19"/>
      <c r="Z10" s="19"/>
      <c r="AA10" s="19"/>
      <c r="AC10" s="18">
        <v>45966.0</v>
      </c>
      <c r="AD10" s="19"/>
      <c r="AE10" s="19"/>
      <c r="AF10" s="19"/>
      <c r="AG10" s="19"/>
      <c r="AH10" s="19"/>
      <c r="AI10" s="19"/>
      <c r="AK10" s="18">
        <v>45966.0</v>
      </c>
      <c r="AL10" s="19"/>
      <c r="AM10" s="19"/>
      <c r="AN10" s="19"/>
      <c r="AO10" s="19"/>
      <c r="AP10" s="19"/>
      <c r="AQ10" s="19"/>
      <c r="AV10" s="30"/>
    </row>
    <row r="11">
      <c r="A11" s="18">
        <v>45997.0</v>
      </c>
      <c r="B11" s="85">
        <v>117.95</v>
      </c>
      <c r="C11" s="79">
        <v>35.0</v>
      </c>
      <c r="D11" s="79">
        <v>9.0</v>
      </c>
      <c r="E11" s="79">
        <v>3.0</v>
      </c>
      <c r="F11" s="80">
        <f t="shared" ref="F11:F20" si="9">B11/C11</f>
        <v>3.37</v>
      </c>
      <c r="G11" s="80">
        <f t="shared" ref="G11:G21" si="10">B11/E11</f>
        <v>39.31666667</v>
      </c>
      <c r="H11" s="80">
        <f t="shared" ref="H11:H20" si="11">D11/C11*100</f>
        <v>25.71428571</v>
      </c>
      <c r="I11" s="80">
        <f t="shared" si="4"/>
        <v>14.154</v>
      </c>
      <c r="K11" s="18">
        <v>45997.0</v>
      </c>
      <c r="L11" s="19">
        <f>83.36+
55.95+
123.04</f>
        <v>262.35</v>
      </c>
      <c r="M11" s="33">
        <v>109.0</v>
      </c>
      <c r="N11" s="33">
        <v>48.0</v>
      </c>
      <c r="O11" s="33">
        <v>4.0</v>
      </c>
      <c r="P11" s="22">
        <f t="shared" si="5"/>
        <v>2.406880734</v>
      </c>
      <c r="Q11" s="23">
        <f t="shared" si="8"/>
        <v>65.5875</v>
      </c>
      <c r="R11" s="23">
        <f t="shared" si="6"/>
        <v>44.03669725</v>
      </c>
      <c r="S11" s="23">
        <f t="shared" si="7"/>
        <v>26.235</v>
      </c>
      <c r="U11" s="18">
        <v>45967.0</v>
      </c>
      <c r="V11" s="19"/>
      <c r="W11" s="19"/>
      <c r="X11" s="19"/>
      <c r="Y11" s="19"/>
      <c r="Z11" s="19"/>
      <c r="AA11" s="19"/>
      <c r="AC11" s="18">
        <v>45967.0</v>
      </c>
      <c r="AD11" s="19"/>
      <c r="AE11" s="19"/>
      <c r="AF11" s="19"/>
      <c r="AG11" s="19"/>
      <c r="AH11" s="19"/>
      <c r="AI11" s="19"/>
      <c r="AK11" s="18">
        <v>45967.0</v>
      </c>
      <c r="AL11" s="19"/>
      <c r="AM11" s="19"/>
      <c r="AN11" s="19"/>
      <c r="AO11" s="19"/>
      <c r="AP11" s="19"/>
      <c r="AQ11" s="19"/>
      <c r="AV11" s="30"/>
    </row>
    <row r="12">
      <c r="A12" s="18">
        <v>45998.0</v>
      </c>
      <c r="B12" s="84">
        <f>119.17+
74.25</f>
        <v>193.42</v>
      </c>
      <c r="C12" s="79">
        <v>68.0</v>
      </c>
      <c r="D12" s="79">
        <v>24.0</v>
      </c>
      <c r="E12" s="79">
        <v>3.0</v>
      </c>
      <c r="F12" s="80">
        <f t="shared" si="9"/>
        <v>2.844411765</v>
      </c>
      <c r="G12" s="80">
        <f t="shared" si="10"/>
        <v>64.47333333</v>
      </c>
      <c r="H12" s="80">
        <f t="shared" si="11"/>
        <v>35.29411765</v>
      </c>
      <c r="I12" s="80">
        <f t="shared" si="4"/>
        <v>23.2104</v>
      </c>
      <c r="K12" s="18">
        <v>45998.0</v>
      </c>
      <c r="L12" s="19">
        <f>98.64+
64.95+
14.47</f>
        <v>178.06</v>
      </c>
      <c r="M12" s="33">
        <v>84.0</v>
      </c>
      <c r="N12" s="33">
        <v>37.0</v>
      </c>
      <c r="O12" s="33">
        <v>1.0</v>
      </c>
      <c r="P12" s="22">
        <f t="shared" si="5"/>
        <v>2.119761905</v>
      </c>
      <c r="Q12" s="23">
        <f t="shared" si="8"/>
        <v>178.06</v>
      </c>
      <c r="R12" s="23">
        <f t="shared" si="6"/>
        <v>44.04761905</v>
      </c>
      <c r="S12" s="23">
        <f t="shared" si="7"/>
        <v>17.806</v>
      </c>
      <c r="U12" s="18">
        <v>45968.0</v>
      </c>
      <c r="V12" s="19"/>
      <c r="W12" s="19"/>
      <c r="X12" s="19"/>
      <c r="Y12" s="19"/>
      <c r="Z12" s="19"/>
      <c r="AA12" s="19"/>
      <c r="AC12" s="18">
        <v>45968.0</v>
      </c>
      <c r="AD12" s="19"/>
      <c r="AE12" s="19"/>
      <c r="AF12" s="19"/>
      <c r="AG12" s="19"/>
      <c r="AH12" s="19"/>
      <c r="AI12" s="19"/>
      <c r="AK12" s="18">
        <v>45968.0</v>
      </c>
      <c r="AL12" s="19"/>
      <c r="AM12" s="19"/>
      <c r="AN12" s="19"/>
      <c r="AO12" s="19"/>
      <c r="AP12" s="19"/>
      <c r="AQ12" s="19"/>
      <c r="AV12" s="30"/>
    </row>
    <row r="13">
      <c r="A13" s="18">
        <v>45999.0</v>
      </c>
      <c r="B13" s="79">
        <v>14.81</v>
      </c>
      <c r="C13" s="79">
        <v>1.0</v>
      </c>
      <c r="D13" s="79">
        <v>8.0</v>
      </c>
      <c r="E13" s="79">
        <v>1.0</v>
      </c>
      <c r="F13" s="80">
        <f t="shared" si="9"/>
        <v>14.81</v>
      </c>
      <c r="G13" s="80">
        <f t="shared" si="10"/>
        <v>14.81</v>
      </c>
      <c r="H13" s="80">
        <f t="shared" si="11"/>
        <v>800</v>
      </c>
      <c r="I13" s="80">
        <f t="shared" si="4"/>
        <v>1.7772</v>
      </c>
      <c r="K13" s="18">
        <v>45999.0</v>
      </c>
      <c r="L13" s="19">
        <f>IFERROR(__xludf.DUMMYFUNCTION("SUM(IMPORTRANGE(""1juk7449zs4jpNuI-o5X7XCsKjbIAXWPjQAMji4MmS2g"", ""12/2025!t13:t33""))"),443.38)</f>
        <v>443.38</v>
      </c>
      <c r="M13" s="33">
        <v>131.0</v>
      </c>
      <c r="N13" s="33">
        <v>50.0</v>
      </c>
      <c r="O13" s="33">
        <v>2.0</v>
      </c>
      <c r="P13" s="22">
        <f t="shared" si="5"/>
        <v>3.384580153</v>
      </c>
      <c r="Q13" s="23">
        <f t="shared" si="8"/>
        <v>221.69</v>
      </c>
      <c r="R13" s="23">
        <f t="shared" si="6"/>
        <v>38.16793893</v>
      </c>
      <c r="S13" s="23">
        <f t="shared" si="7"/>
        <v>44.338</v>
      </c>
      <c r="U13" s="18">
        <v>45969.0</v>
      </c>
      <c r="V13" s="19"/>
      <c r="W13" s="19"/>
      <c r="X13" s="19"/>
      <c r="Y13" s="19"/>
      <c r="Z13" s="19"/>
      <c r="AA13" s="19"/>
      <c r="AC13" s="18">
        <v>45969.0</v>
      </c>
      <c r="AD13" s="19"/>
      <c r="AE13" s="19"/>
      <c r="AF13" s="19"/>
      <c r="AG13" s="19"/>
      <c r="AH13" s="19"/>
      <c r="AI13" s="19"/>
      <c r="AK13" s="18">
        <v>45969.0</v>
      </c>
      <c r="AL13" s="19"/>
      <c r="AM13" s="19"/>
      <c r="AN13" s="19"/>
      <c r="AO13" s="19"/>
      <c r="AP13" s="19"/>
      <c r="AQ13" s="19"/>
      <c r="AV13" s="30"/>
    </row>
    <row r="14">
      <c r="A14" s="18">
        <v>46000.0</v>
      </c>
      <c r="B14" s="84">
        <f>28.69+
105.7+318.89</f>
        <v>453.28</v>
      </c>
      <c r="C14" s="79">
        <v>147.0</v>
      </c>
      <c r="D14" s="79">
        <v>57.0</v>
      </c>
      <c r="E14" s="79">
        <v>2.0</v>
      </c>
      <c r="F14" s="80">
        <f t="shared" si="9"/>
        <v>3.083537415</v>
      </c>
      <c r="G14" s="80">
        <f t="shared" si="10"/>
        <v>226.64</v>
      </c>
      <c r="H14" s="80">
        <f t="shared" si="11"/>
        <v>38.7755102</v>
      </c>
      <c r="I14" s="86">
        <f t="shared" si="4"/>
        <v>54.3936</v>
      </c>
      <c r="K14" s="18">
        <v>46000.0</v>
      </c>
      <c r="L14" s="19">
        <f>IFERROR(__xludf.DUMMYFUNCTION("SUM(IMPORTRANGE(""1juk7449zs4jpNuI-o5X7XCsKjbIAXWPjQAMji4MmS2g"", ""12/2025!u13:u33""))"),400.77)</f>
        <v>400.77</v>
      </c>
      <c r="M14" s="33">
        <v>140.0</v>
      </c>
      <c r="N14" s="33">
        <v>66.0</v>
      </c>
      <c r="O14" s="19"/>
      <c r="P14" s="22">
        <f t="shared" si="5"/>
        <v>2.862642857</v>
      </c>
      <c r="Q14" s="23"/>
      <c r="R14" s="23">
        <f t="shared" si="6"/>
        <v>47.14285714</v>
      </c>
      <c r="S14" s="23">
        <f t="shared" si="7"/>
        <v>40.077</v>
      </c>
      <c r="U14" s="18">
        <v>45970.0</v>
      </c>
      <c r="V14" s="19"/>
      <c r="W14" s="19"/>
      <c r="X14" s="19"/>
      <c r="Y14" s="19"/>
      <c r="Z14" s="19"/>
      <c r="AA14" s="19"/>
      <c r="AC14" s="18">
        <v>45970.0</v>
      </c>
      <c r="AD14" s="19"/>
      <c r="AE14" s="19"/>
      <c r="AF14" s="19"/>
      <c r="AG14" s="19"/>
      <c r="AH14" s="19"/>
      <c r="AI14" s="19"/>
      <c r="AK14" s="18">
        <v>45970.0</v>
      </c>
      <c r="AL14" s="19"/>
      <c r="AM14" s="19"/>
      <c r="AN14" s="19"/>
      <c r="AO14" s="19"/>
      <c r="AP14" s="19"/>
      <c r="AQ14" s="19"/>
    </row>
    <row r="15">
      <c r="A15" s="18">
        <v>46001.0</v>
      </c>
      <c r="B15" s="84">
        <f>IFERROR(__xludf.DUMMYFUNCTION("SUM(IMPORTRANGE(""1juk7449zs4jpNuI-o5X7XCsKjbIAXWPjQAMji4MmS2g"", ""12/2025!v5:v12""))"),177.91)</f>
        <v>177.91</v>
      </c>
      <c r="C15" s="79">
        <v>52.0</v>
      </c>
      <c r="D15" s="79">
        <v>21.0</v>
      </c>
      <c r="E15" s="79">
        <v>2.0</v>
      </c>
      <c r="F15" s="80">
        <f t="shared" si="9"/>
        <v>3.421346154</v>
      </c>
      <c r="G15" s="80">
        <f t="shared" si="10"/>
        <v>88.955</v>
      </c>
      <c r="H15" s="80">
        <f t="shared" si="11"/>
        <v>40.38461538</v>
      </c>
      <c r="I15" s="86">
        <f t="shared" si="4"/>
        <v>21.3492</v>
      </c>
      <c r="K15" s="18">
        <v>46001.0</v>
      </c>
      <c r="L15" s="19">
        <f>IFERROR(__xludf.DUMMYFUNCTION("SUM(IMPORTRANGE(""1juk7449zs4jpNuI-o5X7XCsKjbIAXWPjQAMji4MmS2g"", ""12/2025!v13:v33""))"),270.12)</f>
        <v>270.12</v>
      </c>
      <c r="M15" s="33">
        <v>72.0</v>
      </c>
      <c r="N15" s="33">
        <v>39.0</v>
      </c>
      <c r="O15" s="19"/>
      <c r="P15" s="22">
        <f t="shared" si="5"/>
        <v>3.751666667</v>
      </c>
      <c r="Q15" s="23"/>
      <c r="R15" s="23">
        <f t="shared" si="6"/>
        <v>54.16666667</v>
      </c>
      <c r="S15" s="23">
        <f t="shared" si="7"/>
        <v>27.012</v>
      </c>
      <c r="U15" s="18">
        <v>45971.0</v>
      </c>
      <c r="V15" s="19"/>
      <c r="W15" s="19"/>
      <c r="X15" s="19"/>
      <c r="Y15" s="19"/>
      <c r="Z15" s="19"/>
      <c r="AA15" s="19"/>
      <c r="AC15" s="18">
        <v>45971.0</v>
      </c>
      <c r="AD15" s="19"/>
      <c r="AE15" s="19"/>
      <c r="AF15" s="19"/>
      <c r="AG15" s="19"/>
      <c r="AH15" s="19"/>
      <c r="AI15" s="19"/>
      <c r="AK15" s="18">
        <v>45971.0</v>
      </c>
      <c r="AL15" s="19"/>
      <c r="AM15" s="19"/>
      <c r="AN15" s="19"/>
      <c r="AO15" s="19"/>
      <c r="AP15" s="19"/>
      <c r="AQ15" s="19"/>
    </row>
    <row r="16">
      <c r="A16" s="18">
        <v>46002.0</v>
      </c>
      <c r="B16" s="84">
        <f>IFERROR(__xludf.DUMMYFUNCTION("SUM(IMPORTRANGE(""1juk7449zs4jpNuI-o5X7XCsKjbIAXWPjQAMji4MmS2g"", ""12/2025!w5:w12""))"),207.95999999999998)</f>
        <v>207.96</v>
      </c>
      <c r="C16" s="79">
        <v>13.0</v>
      </c>
      <c r="D16" s="79">
        <v>9.0</v>
      </c>
      <c r="E16" s="79">
        <v>4.0</v>
      </c>
      <c r="F16" s="80">
        <f t="shared" si="9"/>
        <v>15.99692308</v>
      </c>
      <c r="G16" s="80">
        <f t="shared" si="10"/>
        <v>51.99</v>
      </c>
      <c r="H16" s="80">
        <f t="shared" si="11"/>
        <v>69.23076923</v>
      </c>
      <c r="I16" s="86">
        <f t="shared" si="4"/>
        <v>24.9552</v>
      </c>
      <c r="K16" s="18">
        <v>46002.0</v>
      </c>
      <c r="L16" s="19">
        <f>IFERROR(__xludf.DUMMYFUNCTION("SUM(IMPORTRANGE(""1juk7449zs4jpNuI-o5X7XCsKjbIAXWPjQAMji4MmS2g"", ""12/2025!w13:w33""))"),326.03999999999996)</f>
        <v>326.04</v>
      </c>
      <c r="M16" s="33">
        <v>107.0</v>
      </c>
      <c r="N16" s="33">
        <v>40.0</v>
      </c>
      <c r="O16" s="33">
        <v>5.0</v>
      </c>
      <c r="P16" s="22">
        <f t="shared" si="5"/>
        <v>3.047102804</v>
      </c>
      <c r="Q16" s="23">
        <f t="shared" ref="Q16:Q17" si="12">L16/O16</f>
        <v>65.208</v>
      </c>
      <c r="R16" s="23">
        <f t="shared" si="6"/>
        <v>37.38317757</v>
      </c>
      <c r="S16" s="23">
        <f t="shared" si="7"/>
        <v>32.604</v>
      </c>
      <c r="U16" s="18">
        <v>45972.0</v>
      </c>
      <c r="V16" s="19"/>
      <c r="W16" s="19"/>
      <c r="X16" s="19"/>
      <c r="Y16" s="19"/>
      <c r="Z16" s="19"/>
      <c r="AA16" s="19"/>
      <c r="AC16" s="18">
        <v>45972.0</v>
      </c>
      <c r="AD16" s="19"/>
      <c r="AE16" s="19"/>
      <c r="AF16" s="19"/>
      <c r="AG16" s="19"/>
      <c r="AH16" s="19"/>
      <c r="AI16" s="19"/>
      <c r="AK16" s="18">
        <v>45972.0</v>
      </c>
      <c r="AL16" s="19"/>
      <c r="AM16" s="19"/>
      <c r="AN16" s="19"/>
      <c r="AO16" s="19"/>
      <c r="AP16" s="19"/>
      <c r="AQ16" s="19"/>
    </row>
    <row r="17">
      <c r="A17" s="18">
        <v>46003.0</v>
      </c>
      <c r="B17" s="84">
        <f>IFERROR(__xludf.DUMMYFUNCTION("SUM(IMPORTRANGE(""1juk7449zs4jpNuI-o5X7XCsKjbIAXWPjQAMji4MmS2g"", ""12/2025!x5:x12""))"),0.0)</f>
        <v>0</v>
      </c>
      <c r="C17" s="79">
        <v>1.0</v>
      </c>
      <c r="D17" s="79">
        <v>7.0</v>
      </c>
      <c r="E17" s="79">
        <v>3.0</v>
      </c>
      <c r="F17" s="80">
        <f t="shared" si="9"/>
        <v>0</v>
      </c>
      <c r="G17" s="80">
        <f t="shared" si="10"/>
        <v>0</v>
      </c>
      <c r="H17" s="80">
        <f t="shared" si="11"/>
        <v>700</v>
      </c>
      <c r="I17" s="86">
        <f t="shared" si="4"/>
        <v>0</v>
      </c>
      <c r="K17" s="18">
        <v>46003.0</v>
      </c>
      <c r="L17" s="19">
        <f>IFERROR(__xludf.DUMMYFUNCTION("SUM(IMPORTRANGE(""1juk7449zs4jpNuI-o5X7XCsKjbIAXWPjQAMji4MmS2g"", ""12/2025!x13:x33""))"),416.86)</f>
        <v>416.86</v>
      </c>
      <c r="M17" s="33">
        <v>155.0</v>
      </c>
      <c r="N17" s="33">
        <v>62.0</v>
      </c>
      <c r="O17" s="33">
        <v>1.0</v>
      </c>
      <c r="P17" s="22">
        <f t="shared" si="5"/>
        <v>2.689419355</v>
      </c>
      <c r="Q17" s="23">
        <f t="shared" si="12"/>
        <v>416.86</v>
      </c>
      <c r="R17" s="23">
        <f t="shared" si="6"/>
        <v>40</v>
      </c>
      <c r="S17" s="23">
        <f t="shared" si="7"/>
        <v>41.686</v>
      </c>
      <c r="U17" s="18">
        <v>45973.0</v>
      </c>
      <c r="V17" s="19"/>
      <c r="W17" s="19"/>
      <c r="X17" s="19"/>
      <c r="Y17" s="19"/>
      <c r="Z17" s="19"/>
      <c r="AA17" s="19"/>
      <c r="AC17" s="18">
        <v>45973.0</v>
      </c>
      <c r="AD17" s="19"/>
      <c r="AE17" s="19"/>
      <c r="AF17" s="19"/>
      <c r="AG17" s="19"/>
      <c r="AH17" s="19"/>
      <c r="AI17" s="19"/>
      <c r="AK17" s="18">
        <v>45973.0</v>
      </c>
      <c r="AL17" s="19"/>
      <c r="AM17" s="19"/>
      <c r="AN17" s="19"/>
      <c r="AO17" s="19"/>
      <c r="AP17" s="19"/>
      <c r="AQ17" s="19"/>
    </row>
    <row r="18">
      <c r="A18" s="18">
        <v>46004.0</v>
      </c>
      <c r="B18" s="84">
        <f>IFERROR(__xludf.DUMMYFUNCTION("SUM(IMPORTRANGE(""1juk7449zs4jpNuI-o5X7XCsKjbIAXWPjQAMji4MmS2g"", ""12/2025!y5:y12""))"),139.71)</f>
        <v>139.71</v>
      </c>
      <c r="C18" s="79">
        <v>16.0</v>
      </c>
      <c r="D18" s="79">
        <v>5.0</v>
      </c>
      <c r="E18" s="79">
        <v>4.0</v>
      </c>
      <c r="F18" s="80">
        <f t="shared" si="9"/>
        <v>8.731875</v>
      </c>
      <c r="G18" s="80">
        <f t="shared" si="10"/>
        <v>34.9275</v>
      </c>
      <c r="H18" s="80">
        <f t="shared" si="11"/>
        <v>31.25</v>
      </c>
      <c r="I18" s="86">
        <f t="shared" si="4"/>
        <v>16.7652</v>
      </c>
      <c r="K18" s="18">
        <v>46004.0</v>
      </c>
      <c r="L18" s="19">
        <f>IFERROR(__xludf.DUMMYFUNCTION("SUM(IMPORTRANGE(""1juk7449zs4jpNuI-o5X7XCsKjbIAXWPjQAMji4MmS2g"", ""12/2025!y13:y33""))"),503.32)</f>
        <v>503.32</v>
      </c>
      <c r="M18" s="33">
        <v>159.0</v>
      </c>
      <c r="N18" s="33">
        <v>63.0</v>
      </c>
      <c r="O18" s="33">
        <v>0.0</v>
      </c>
      <c r="P18" s="22">
        <f t="shared" si="5"/>
        <v>3.165534591</v>
      </c>
      <c r="Q18" s="83">
        <v>0.0</v>
      </c>
      <c r="R18" s="23">
        <f t="shared" si="6"/>
        <v>39.62264151</v>
      </c>
      <c r="S18" s="23">
        <f t="shared" si="7"/>
        <v>50.332</v>
      </c>
      <c r="U18" s="18">
        <v>45974.0</v>
      </c>
      <c r="V18" s="19"/>
      <c r="W18" s="19"/>
      <c r="X18" s="19"/>
      <c r="Y18" s="19"/>
      <c r="Z18" s="19"/>
      <c r="AA18" s="19"/>
      <c r="AC18" s="18">
        <v>45974.0</v>
      </c>
      <c r="AD18" s="19"/>
      <c r="AE18" s="19"/>
      <c r="AF18" s="19"/>
      <c r="AG18" s="19"/>
      <c r="AH18" s="19"/>
      <c r="AI18" s="19"/>
      <c r="AK18" s="18">
        <v>45974.0</v>
      </c>
      <c r="AL18" s="19"/>
      <c r="AM18" s="19"/>
      <c r="AN18" s="19"/>
      <c r="AO18" s="19"/>
      <c r="AP18" s="19"/>
      <c r="AQ18" s="19"/>
    </row>
    <row r="19">
      <c r="A19" s="18">
        <v>46005.0</v>
      </c>
      <c r="B19" s="84">
        <f>IFERROR(__xludf.DUMMYFUNCTION("SUM(IMPORTRANGE(""1juk7449zs4jpNuI-o5X7XCsKjbIAXWPjQAMji4MmS2g"", ""12/2025!z5:z12""))"),210.74)</f>
        <v>210.74</v>
      </c>
      <c r="C19" s="79">
        <v>31.0</v>
      </c>
      <c r="D19" s="79">
        <v>12.0</v>
      </c>
      <c r="E19" s="79">
        <v>4.0</v>
      </c>
      <c r="F19" s="80">
        <f t="shared" si="9"/>
        <v>6.798064516</v>
      </c>
      <c r="G19" s="80">
        <f t="shared" si="10"/>
        <v>52.685</v>
      </c>
      <c r="H19" s="80">
        <f t="shared" si="11"/>
        <v>38.70967742</v>
      </c>
      <c r="I19" s="86">
        <f t="shared" si="4"/>
        <v>25.2888</v>
      </c>
      <c r="K19" s="18">
        <v>46005.0</v>
      </c>
      <c r="L19" s="19">
        <f>IFERROR(__xludf.DUMMYFUNCTION("SUM(IMPORTRANGE(""1juk7449zs4jpNuI-o5X7XCsKjbIAXWPjQAMji4MmS2g"", ""12/2025!z13:z33""))"),425.27000000000004)</f>
        <v>425.27</v>
      </c>
      <c r="M19" s="33">
        <v>126.0</v>
      </c>
      <c r="N19" s="33">
        <v>58.0</v>
      </c>
      <c r="O19" s="33">
        <v>3.0</v>
      </c>
      <c r="P19" s="22">
        <f t="shared" si="5"/>
        <v>3.37515873</v>
      </c>
      <c r="Q19" s="23">
        <f t="shared" ref="Q19:Q37" si="13">L19/O19</f>
        <v>141.7566667</v>
      </c>
      <c r="R19" s="23">
        <f t="shared" si="6"/>
        <v>46.03174603</v>
      </c>
      <c r="S19" s="23">
        <f t="shared" si="7"/>
        <v>42.527</v>
      </c>
      <c r="U19" s="18">
        <v>45975.0</v>
      </c>
      <c r="V19" s="19"/>
      <c r="W19" s="19"/>
      <c r="X19" s="19"/>
      <c r="Y19" s="19"/>
      <c r="Z19" s="19"/>
      <c r="AA19" s="19"/>
      <c r="AC19" s="18">
        <v>45975.0</v>
      </c>
      <c r="AD19" s="19"/>
      <c r="AE19" s="19"/>
      <c r="AF19" s="19"/>
      <c r="AG19" s="19"/>
      <c r="AH19" s="19"/>
      <c r="AI19" s="19"/>
      <c r="AK19" s="18">
        <v>45975.0</v>
      </c>
      <c r="AL19" s="19"/>
      <c r="AM19" s="19"/>
      <c r="AN19" s="19"/>
      <c r="AO19" s="19"/>
      <c r="AP19" s="19"/>
      <c r="AQ19" s="19"/>
    </row>
    <row r="20">
      <c r="A20" s="18">
        <v>46006.0</v>
      </c>
      <c r="B20" s="84">
        <f>IFERROR(__xludf.DUMMYFUNCTION("SUM(IMPORTRANGE(""1juk7449zs4jpNuI-o5X7XCsKjbIAXWPjQAMji4MmS2g"", ""12/2025!aa5:aa12""))"),234.01)</f>
        <v>234.01</v>
      </c>
      <c r="C20" s="79">
        <v>3.0</v>
      </c>
      <c r="D20" s="79">
        <v>7.0</v>
      </c>
      <c r="E20" s="79">
        <v>1.0</v>
      </c>
      <c r="F20" s="80">
        <f t="shared" si="9"/>
        <v>78.00333333</v>
      </c>
      <c r="G20" s="80">
        <f t="shared" si="10"/>
        <v>234.01</v>
      </c>
      <c r="H20" s="80">
        <f t="shared" si="11"/>
        <v>233.3333333</v>
      </c>
      <c r="I20" s="86">
        <f t="shared" si="4"/>
        <v>28.0812</v>
      </c>
      <c r="K20" s="18">
        <v>46006.0</v>
      </c>
      <c r="L20" s="19">
        <f>IFERROR(__xludf.DUMMYFUNCTION("SUM(IMPORTRANGE(""1juk7449zs4jpNuI-o5X7XCsKjbIAXWPjQAMji4MmS2g"", ""12/2025!aa13:aa33""))"),286.93)</f>
        <v>286.93</v>
      </c>
      <c r="M20" s="33">
        <v>115.0</v>
      </c>
      <c r="N20" s="33">
        <v>61.0</v>
      </c>
      <c r="O20" s="33">
        <v>3.0</v>
      </c>
      <c r="P20" s="22">
        <f t="shared" si="5"/>
        <v>2.495043478</v>
      </c>
      <c r="Q20" s="23">
        <f t="shared" si="13"/>
        <v>95.64333333</v>
      </c>
      <c r="R20" s="23">
        <f t="shared" si="6"/>
        <v>53.04347826</v>
      </c>
      <c r="S20" s="23">
        <f t="shared" si="7"/>
        <v>28.693</v>
      </c>
      <c r="U20" s="18">
        <v>45976.0</v>
      </c>
      <c r="V20" s="19"/>
      <c r="W20" s="19"/>
      <c r="X20" s="19"/>
      <c r="Y20" s="19"/>
      <c r="Z20" s="19"/>
      <c r="AA20" s="19"/>
      <c r="AC20" s="18">
        <v>45976.0</v>
      </c>
      <c r="AD20" s="19"/>
      <c r="AE20" s="19"/>
      <c r="AF20" s="19"/>
      <c r="AG20" s="19"/>
      <c r="AH20" s="19"/>
      <c r="AI20" s="19"/>
      <c r="AK20" s="18">
        <v>45976.0</v>
      </c>
      <c r="AL20" s="19"/>
      <c r="AM20" s="19"/>
      <c r="AN20" s="19"/>
      <c r="AO20" s="19"/>
      <c r="AP20" s="19"/>
      <c r="AQ20" s="19"/>
    </row>
    <row r="21">
      <c r="A21" s="18">
        <v>46007.0</v>
      </c>
      <c r="B21" s="84">
        <f>IFERROR(__xludf.DUMMYFUNCTION("SUM(IMPORTRANGE(""1juk7449zs4jpNuI-o5X7XCsKjbIAXWPjQAMji4MmS2g"", ""12/2025!ab5:ab12""))"),9.31)</f>
        <v>9.31</v>
      </c>
      <c r="C21" s="84"/>
      <c r="D21" s="79">
        <v>2.0</v>
      </c>
      <c r="E21" s="79">
        <v>1.0</v>
      </c>
      <c r="F21" s="80"/>
      <c r="G21" s="80">
        <f t="shared" si="10"/>
        <v>9.31</v>
      </c>
      <c r="H21" s="80"/>
      <c r="I21" s="86">
        <f t="shared" si="4"/>
        <v>1.1172</v>
      </c>
      <c r="K21" s="18">
        <v>46007.0</v>
      </c>
      <c r="L21" s="19">
        <f>IFERROR(__xludf.DUMMYFUNCTION("SUM(IMPORTRANGE(""1juk7449zs4jpNuI-o5X7XCsKjbIAXWPjQAMji4MmS2g"", ""12/2025!ab13:ab33""))"),199.04999999999998)</f>
        <v>199.05</v>
      </c>
      <c r="M21" s="33">
        <v>72.0</v>
      </c>
      <c r="N21" s="33">
        <v>34.0</v>
      </c>
      <c r="O21" s="33">
        <v>4.0</v>
      </c>
      <c r="P21" s="22">
        <f t="shared" si="5"/>
        <v>2.764583333</v>
      </c>
      <c r="Q21" s="23">
        <f t="shared" si="13"/>
        <v>49.7625</v>
      </c>
      <c r="R21" s="23">
        <f t="shared" si="6"/>
        <v>47.22222222</v>
      </c>
      <c r="S21" s="23">
        <f t="shared" si="7"/>
        <v>19.905</v>
      </c>
      <c r="T21" s="19"/>
      <c r="U21" s="18">
        <v>45977.0</v>
      </c>
      <c r="V21" s="19"/>
      <c r="W21" s="19"/>
      <c r="X21" s="19"/>
      <c r="Y21" s="19"/>
      <c r="Z21" s="19"/>
      <c r="AA21" s="19"/>
      <c r="AC21" s="18">
        <v>45977.0</v>
      </c>
      <c r="AD21" s="19"/>
      <c r="AE21" s="19"/>
      <c r="AF21" s="19"/>
      <c r="AG21" s="19"/>
      <c r="AH21" s="19"/>
      <c r="AI21" s="19"/>
      <c r="AK21" s="18">
        <v>45977.0</v>
      </c>
      <c r="AL21" s="19"/>
      <c r="AM21" s="19"/>
      <c r="AN21" s="19"/>
      <c r="AO21" s="19"/>
      <c r="AP21" s="19"/>
      <c r="AQ21" s="19"/>
    </row>
    <row r="22">
      <c r="A22" s="18">
        <v>46008.0</v>
      </c>
      <c r="B22" s="84">
        <f>IFERROR(__xludf.DUMMYFUNCTION("SUM(IMPORTRANGE(""1juk7449zs4jpNuI-o5X7XCsKjbIAXWPjQAMji4MmS2g"", ""12/2025!ac5:ac12""))"),41.72)</f>
        <v>41.72</v>
      </c>
      <c r="C22" s="79">
        <v>4.0</v>
      </c>
      <c r="D22" s="79">
        <v>6.0</v>
      </c>
      <c r="E22" s="79"/>
      <c r="F22" s="80">
        <f t="shared" ref="F22:F25" si="14">B22/C22</f>
        <v>10.43</v>
      </c>
      <c r="G22" s="80"/>
      <c r="H22" s="80">
        <f t="shared" ref="H22:H25" si="15">D22/C22*100</f>
        <v>150</v>
      </c>
      <c r="I22" s="86">
        <f t="shared" si="4"/>
        <v>5.0064</v>
      </c>
      <c r="K22" s="18">
        <v>46008.0</v>
      </c>
      <c r="L22" s="19">
        <f>IFERROR(__xludf.DUMMYFUNCTION("SUM(IMPORTRANGE(""1juk7449zs4jpNuI-o5X7XCsKjbIAXWPjQAMji4MmS2g"", ""12/2025!ac13:ac33""))"),407.08)</f>
        <v>407.08</v>
      </c>
      <c r="M22" s="33">
        <v>219.0</v>
      </c>
      <c r="N22" s="33">
        <v>102.0</v>
      </c>
      <c r="O22" s="33">
        <v>2.0</v>
      </c>
      <c r="P22" s="22">
        <f t="shared" si="5"/>
        <v>1.858812785</v>
      </c>
      <c r="Q22" s="23">
        <f t="shared" si="13"/>
        <v>203.54</v>
      </c>
      <c r="R22" s="23">
        <f t="shared" si="6"/>
        <v>46.57534247</v>
      </c>
      <c r="S22" s="23">
        <f t="shared" si="7"/>
        <v>40.708</v>
      </c>
      <c r="U22" s="18">
        <v>45978.0</v>
      </c>
      <c r="V22" s="19"/>
      <c r="W22" s="19"/>
      <c r="X22" s="19"/>
      <c r="Y22" s="19"/>
      <c r="Z22" s="19"/>
      <c r="AA22" s="19"/>
      <c r="AC22" s="18">
        <v>45978.0</v>
      </c>
      <c r="AD22" s="19"/>
      <c r="AE22" s="19"/>
      <c r="AF22" s="19"/>
      <c r="AG22" s="19"/>
      <c r="AH22" s="19"/>
      <c r="AI22" s="19"/>
      <c r="AK22" s="18">
        <v>45978.0</v>
      </c>
      <c r="AL22" s="19"/>
      <c r="AM22" s="19"/>
      <c r="AN22" s="19"/>
      <c r="AO22" s="19"/>
      <c r="AP22" s="19"/>
      <c r="AQ22" s="19"/>
    </row>
    <row r="23">
      <c r="A23" s="18">
        <v>46009.0</v>
      </c>
      <c r="B23" s="84">
        <f>IFERROR(__xludf.DUMMYFUNCTION("SUM(IMPORTRANGE(""1juk7449zs4jpNuI-o5X7XCsKjbIAXWPjQAMji4MmS2g"", ""12/2025!ad5:ad12""))"),280.74)</f>
        <v>280.74</v>
      </c>
      <c r="C23" s="79">
        <v>65.0</v>
      </c>
      <c r="D23" s="79">
        <v>23.0</v>
      </c>
      <c r="E23" s="84"/>
      <c r="F23" s="80">
        <f t="shared" si="14"/>
        <v>4.319076923</v>
      </c>
      <c r="G23" s="80"/>
      <c r="H23" s="80">
        <f t="shared" si="15"/>
        <v>35.38461538</v>
      </c>
      <c r="I23" s="86">
        <f t="shared" si="4"/>
        <v>33.6888</v>
      </c>
      <c r="K23" s="18">
        <v>46009.0</v>
      </c>
      <c r="L23" s="19">
        <f>IFERROR(__xludf.DUMMYFUNCTION("SUM(IMPORTRANGE(""1juk7449zs4jpNuI-o5X7XCsKjbIAXWPjQAMji4MmS2g"", ""12/2025!ad13:ad33""))"),577.87)</f>
        <v>577.87</v>
      </c>
      <c r="M23" s="33">
        <v>229.0</v>
      </c>
      <c r="N23" s="33">
        <v>89.0</v>
      </c>
      <c r="O23" s="33">
        <v>7.0</v>
      </c>
      <c r="P23" s="22">
        <f t="shared" si="5"/>
        <v>2.523449782</v>
      </c>
      <c r="Q23" s="23">
        <f t="shared" si="13"/>
        <v>82.55285714</v>
      </c>
      <c r="R23" s="23">
        <f t="shared" si="6"/>
        <v>38.86462882</v>
      </c>
      <c r="S23" s="23">
        <f t="shared" si="7"/>
        <v>57.787</v>
      </c>
      <c r="U23" s="18">
        <v>45979.0</v>
      </c>
      <c r="V23" s="19"/>
      <c r="W23" s="19"/>
      <c r="X23" s="19"/>
      <c r="Y23" s="19"/>
      <c r="Z23" s="19"/>
      <c r="AA23" s="19"/>
      <c r="AC23" s="18">
        <v>45979.0</v>
      </c>
      <c r="AD23" s="19"/>
      <c r="AE23" s="19"/>
      <c r="AF23" s="19"/>
      <c r="AG23" s="19"/>
      <c r="AH23" s="19"/>
      <c r="AI23" s="19"/>
      <c r="AK23" s="18">
        <v>45979.0</v>
      </c>
      <c r="AL23" s="19"/>
      <c r="AM23" s="19"/>
      <c r="AN23" s="19"/>
      <c r="AO23" s="19"/>
      <c r="AP23" s="19"/>
      <c r="AQ23" s="19"/>
    </row>
    <row r="24">
      <c r="A24" s="18">
        <v>46010.0</v>
      </c>
      <c r="B24" s="84">
        <f>IFERROR(__xludf.DUMMYFUNCTION("SUM(IMPORTRANGE(""1juk7449zs4jpNuI-o5X7XCsKjbIAXWPjQAMji4MmS2g"", ""12/2025!ae5:ae12""))"),236.99)</f>
        <v>236.99</v>
      </c>
      <c r="C24" s="79">
        <v>69.0</v>
      </c>
      <c r="D24" s="79">
        <v>30.0</v>
      </c>
      <c r="E24" s="79">
        <v>3.0</v>
      </c>
      <c r="F24" s="80">
        <f t="shared" si="14"/>
        <v>3.434637681</v>
      </c>
      <c r="G24" s="80">
        <f t="shared" ref="G24:G32" si="16">B24/E24</f>
        <v>78.99666667</v>
      </c>
      <c r="H24" s="80">
        <f t="shared" si="15"/>
        <v>43.47826087</v>
      </c>
      <c r="I24" s="86">
        <f t="shared" si="4"/>
        <v>28.4388</v>
      </c>
      <c r="K24" s="18">
        <v>46010.0</v>
      </c>
      <c r="L24" s="19">
        <f>IFERROR(__xludf.DUMMYFUNCTION("SUM(IMPORTRANGE(""1juk7449zs4jpNuI-o5X7XCsKjbIAXWPjQAMji4MmS2g"", ""12/2025!ae13:ae33""))"),387.09)</f>
        <v>387.09</v>
      </c>
      <c r="M24" s="33">
        <v>210.0</v>
      </c>
      <c r="N24" s="33">
        <v>77.0</v>
      </c>
      <c r="O24" s="33">
        <v>5.0</v>
      </c>
      <c r="P24" s="22">
        <f t="shared" si="5"/>
        <v>1.843285714</v>
      </c>
      <c r="Q24" s="23">
        <f t="shared" si="13"/>
        <v>77.418</v>
      </c>
      <c r="R24" s="23">
        <f t="shared" si="6"/>
        <v>36.66666667</v>
      </c>
      <c r="S24" s="23">
        <f t="shared" si="7"/>
        <v>38.709</v>
      </c>
      <c r="U24" s="18">
        <v>45980.0</v>
      </c>
      <c r="V24" s="19"/>
      <c r="W24" s="19"/>
      <c r="X24" s="19"/>
      <c r="Y24" s="19"/>
      <c r="Z24" s="19"/>
      <c r="AA24" s="19"/>
      <c r="AC24" s="18">
        <v>45980.0</v>
      </c>
      <c r="AD24" s="19"/>
      <c r="AE24" s="19"/>
      <c r="AF24" s="19"/>
      <c r="AG24" s="19"/>
      <c r="AH24" s="19"/>
      <c r="AI24" s="19"/>
      <c r="AK24" s="18">
        <v>45980.0</v>
      </c>
      <c r="AL24" s="19"/>
      <c r="AM24" s="19"/>
      <c r="AN24" s="19"/>
      <c r="AO24" s="19"/>
      <c r="AP24" s="19"/>
      <c r="AQ24" s="19"/>
    </row>
    <row r="25">
      <c r="A25" s="18">
        <v>46011.0</v>
      </c>
      <c r="B25" s="84">
        <f>IFERROR(__xludf.DUMMYFUNCTION("SUM(IMPORTRANGE(""1juk7449zs4jpNuI-o5X7XCsKjbIAXWPjQAMji4MmS2g"", ""12/2025!af5:af12""))"),114.33)</f>
        <v>114.33</v>
      </c>
      <c r="C25" s="79">
        <v>36.0</v>
      </c>
      <c r="D25" s="79">
        <v>15.0</v>
      </c>
      <c r="E25" s="79">
        <v>2.0</v>
      </c>
      <c r="F25" s="80">
        <f t="shared" si="14"/>
        <v>3.175833333</v>
      </c>
      <c r="G25" s="80">
        <f t="shared" si="16"/>
        <v>57.165</v>
      </c>
      <c r="H25" s="80">
        <f t="shared" si="15"/>
        <v>41.66666667</v>
      </c>
      <c r="I25" s="86">
        <f t="shared" si="4"/>
        <v>13.7196</v>
      </c>
      <c r="K25" s="18">
        <v>46011.0</v>
      </c>
      <c r="L25" s="19">
        <f>IFERROR(__xludf.DUMMYFUNCTION("SUM(IMPORTRANGE(""1juk7449zs4jpNuI-o5X7XCsKjbIAXWPjQAMji4MmS2g"", ""12/2025!af13:af33""))"),230.79999999999998)</f>
        <v>230.8</v>
      </c>
      <c r="M25" s="33">
        <v>165.0</v>
      </c>
      <c r="N25" s="33">
        <v>81.0</v>
      </c>
      <c r="O25" s="33">
        <v>6.0</v>
      </c>
      <c r="P25" s="22">
        <f t="shared" si="5"/>
        <v>1.398787879</v>
      </c>
      <c r="Q25" s="23">
        <f t="shared" si="13"/>
        <v>38.46666667</v>
      </c>
      <c r="R25" s="23">
        <f t="shared" si="6"/>
        <v>49.09090909</v>
      </c>
      <c r="S25" s="23">
        <f t="shared" si="7"/>
        <v>23.08</v>
      </c>
      <c r="U25" s="18">
        <v>45981.0</v>
      </c>
      <c r="V25" s="19"/>
      <c r="W25" s="19"/>
      <c r="X25" s="19"/>
      <c r="Y25" s="19"/>
      <c r="Z25" s="19"/>
      <c r="AA25" s="19"/>
      <c r="AC25" s="18">
        <v>45981.0</v>
      </c>
      <c r="AD25" s="19"/>
      <c r="AE25" s="19"/>
      <c r="AF25" s="19"/>
      <c r="AG25" s="19"/>
      <c r="AH25" s="19"/>
      <c r="AI25" s="19"/>
      <c r="AK25" s="18">
        <v>45981.0</v>
      </c>
      <c r="AL25" s="19"/>
      <c r="AM25" s="19"/>
      <c r="AN25" s="19"/>
      <c r="AO25" s="19"/>
      <c r="AP25" s="19"/>
      <c r="AQ25" s="19"/>
    </row>
    <row r="26">
      <c r="A26" s="18">
        <v>46012.0</v>
      </c>
      <c r="B26" s="84">
        <f>IFERROR(__xludf.DUMMYFUNCTION("SUM(IMPORTRANGE(""1juk7449zs4jpNuI-o5X7XCsKjbIAXWPjQAMji4MmS2g"", ""12/2025!ag5:ag12""))"),0.0)</f>
        <v>0</v>
      </c>
      <c r="C26" s="79"/>
      <c r="D26" s="79">
        <v>4.0</v>
      </c>
      <c r="E26" s="79">
        <v>1.0</v>
      </c>
      <c r="F26" s="80"/>
      <c r="G26" s="80">
        <f t="shared" si="16"/>
        <v>0</v>
      </c>
      <c r="H26" s="80"/>
      <c r="I26" s="86">
        <f t="shared" si="4"/>
        <v>0</v>
      </c>
      <c r="K26" s="18">
        <v>46012.0</v>
      </c>
      <c r="L26" s="19">
        <f>IFERROR(__xludf.DUMMYFUNCTION("SUM(IMPORTRANGE(""1juk7449zs4jpNuI-o5X7XCsKjbIAXWPjQAMji4MmS2g"", ""12/2025!ag13:ag33""))"),132.27)</f>
        <v>132.27</v>
      </c>
      <c r="M26" s="33">
        <v>123.0</v>
      </c>
      <c r="N26" s="33">
        <v>55.0</v>
      </c>
      <c r="O26" s="33">
        <v>2.0</v>
      </c>
      <c r="P26" s="22">
        <f t="shared" si="5"/>
        <v>1.075365854</v>
      </c>
      <c r="Q26" s="23">
        <f t="shared" si="13"/>
        <v>66.135</v>
      </c>
      <c r="R26" s="23">
        <f t="shared" si="6"/>
        <v>44.71544715</v>
      </c>
      <c r="S26" s="23">
        <f t="shared" si="7"/>
        <v>13.227</v>
      </c>
      <c r="U26" s="18">
        <v>45982.0</v>
      </c>
      <c r="V26" s="19"/>
      <c r="W26" s="19"/>
      <c r="X26" s="19"/>
      <c r="Y26" s="19"/>
      <c r="Z26" s="19"/>
      <c r="AA26" s="19"/>
      <c r="AC26" s="18">
        <v>45982.0</v>
      </c>
      <c r="AD26" s="19"/>
      <c r="AE26" s="19"/>
      <c r="AF26" s="19"/>
      <c r="AG26" s="19"/>
      <c r="AH26" s="19"/>
      <c r="AI26" s="19"/>
      <c r="AK26" s="18">
        <v>45982.0</v>
      </c>
      <c r="AL26" s="19"/>
      <c r="AM26" s="19"/>
      <c r="AN26" s="19"/>
      <c r="AO26" s="19"/>
      <c r="AP26" s="19"/>
      <c r="AQ26" s="19"/>
    </row>
    <row r="27">
      <c r="A27" s="18">
        <v>46013.0</v>
      </c>
      <c r="B27" s="84">
        <f>IFERROR(__xludf.DUMMYFUNCTION("SUM(IMPORTRANGE(""1juk7449zs4jpNuI-o5X7XCsKjbIAXWPjQAMji4MmS2g"", ""12/2025!ah5:ah12""))"),175.18)</f>
        <v>175.18</v>
      </c>
      <c r="C27" s="79">
        <v>40.0</v>
      </c>
      <c r="D27" s="79">
        <v>16.0</v>
      </c>
      <c r="E27" s="79">
        <v>5.0</v>
      </c>
      <c r="F27" s="80">
        <f t="shared" ref="F27:F32" si="17">B27/C27</f>
        <v>4.3795</v>
      </c>
      <c r="G27" s="80">
        <f t="shared" si="16"/>
        <v>35.036</v>
      </c>
      <c r="H27" s="80">
        <f t="shared" ref="H27:H32" si="18">D27/C27*100</f>
        <v>40</v>
      </c>
      <c r="I27" s="86">
        <f t="shared" si="4"/>
        <v>21.0216</v>
      </c>
      <c r="K27" s="18">
        <v>46013.0</v>
      </c>
      <c r="L27" s="19">
        <f>IFERROR(__xludf.DUMMYFUNCTION("SUM(IMPORTRANGE(""1juk7449zs4jpNuI-o5X7XCsKjbIAXWPjQAMji4MmS2g"", ""12/2025!ah13:ah33""))"),363.25)</f>
        <v>363.25</v>
      </c>
      <c r="M27" s="33">
        <v>302.0</v>
      </c>
      <c r="N27" s="33">
        <v>133.0</v>
      </c>
      <c r="O27" s="33">
        <v>2.0</v>
      </c>
      <c r="P27" s="22">
        <f t="shared" si="5"/>
        <v>1.20281457</v>
      </c>
      <c r="Q27" s="23">
        <f t="shared" si="13"/>
        <v>181.625</v>
      </c>
      <c r="R27" s="23">
        <f t="shared" si="6"/>
        <v>44.0397351</v>
      </c>
      <c r="S27" s="23">
        <f t="shared" si="7"/>
        <v>36.325</v>
      </c>
      <c r="U27" s="18">
        <v>45983.0</v>
      </c>
      <c r="V27" s="19"/>
      <c r="W27" s="19"/>
      <c r="X27" s="19"/>
      <c r="Y27" s="19"/>
      <c r="Z27" s="19"/>
      <c r="AA27" s="19"/>
      <c r="AC27" s="18">
        <v>45983.0</v>
      </c>
      <c r="AD27" s="19"/>
      <c r="AE27" s="19"/>
      <c r="AF27" s="19"/>
      <c r="AG27" s="19"/>
      <c r="AH27" s="19"/>
      <c r="AI27" s="19"/>
      <c r="AK27" s="18">
        <v>45983.0</v>
      </c>
      <c r="AL27" s="19"/>
      <c r="AM27" s="19"/>
      <c r="AN27" s="19"/>
      <c r="AO27" s="19"/>
      <c r="AP27" s="19"/>
      <c r="AQ27" s="19"/>
    </row>
    <row r="28">
      <c r="A28" s="18">
        <v>46014.0</v>
      </c>
      <c r="B28" s="84">
        <f>IFERROR(__xludf.DUMMYFUNCTION("SUM(IMPORTRANGE(""1juk7449zs4jpNuI-o5X7XCsKjbIAXWPjQAMji4MmS2g"", ""12/2025!ai5:ai12""))"),156.3)</f>
        <v>156.3</v>
      </c>
      <c r="C28" s="79">
        <v>29.0</v>
      </c>
      <c r="D28" s="79">
        <v>16.0</v>
      </c>
      <c r="E28" s="79">
        <v>2.0</v>
      </c>
      <c r="F28" s="80">
        <f t="shared" si="17"/>
        <v>5.389655172</v>
      </c>
      <c r="G28" s="80">
        <f t="shared" si="16"/>
        <v>78.15</v>
      </c>
      <c r="H28" s="80">
        <f t="shared" si="18"/>
        <v>55.17241379</v>
      </c>
      <c r="I28" s="86">
        <f t="shared" si="4"/>
        <v>18.756</v>
      </c>
      <c r="K28" s="18">
        <v>46014.0</v>
      </c>
      <c r="L28" s="19">
        <f>IFERROR(__xludf.DUMMYFUNCTION("SUM(IMPORTRANGE(""1juk7449zs4jpNuI-o5X7XCsKjbIAXWPjQAMji4MmS2g"", ""12/2025!ai13:ai33""))"),370.39)</f>
        <v>370.39</v>
      </c>
      <c r="M28" s="33">
        <v>325.0</v>
      </c>
      <c r="N28" s="33">
        <v>151.0</v>
      </c>
      <c r="O28" s="33">
        <v>4.0</v>
      </c>
      <c r="P28" s="22">
        <f t="shared" si="5"/>
        <v>1.139661538</v>
      </c>
      <c r="Q28" s="23">
        <f t="shared" si="13"/>
        <v>92.5975</v>
      </c>
      <c r="R28" s="23">
        <f t="shared" si="6"/>
        <v>46.46153846</v>
      </c>
      <c r="S28" s="23">
        <f t="shared" si="7"/>
        <v>37.039</v>
      </c>
      <c r="U28" s="18">
        <v>45984.0</v>
      </c>
      <c r="V28" s="19"/>
      <c r="W28" s="19"/>
      <c r="X28" s="19"/>
      <c r="Y28" s="19"/>
      <c r="Z28" s="19"/>
      <c r="AA28" s="19"/>
      <c r="AC28" s="18">
        <v>45984.0</v>
      </c>
      <c r="AD28" s="19"/>
      <c r="AE28" s="19"/>
      <c r="AF28" s="19"/>
      <c r="AG28" s="19"/>
      <c r="AH28" s="19"/>
      <c r="AI28" s="19"/>
      <c r="AK28" s="18">
        <v>45984.0</v>
      </c>
      <c r="AL28" s="19"/>
      <c r="AM28" s="19"/>
      <c r="AN28" s="19"/>
      <c r="AO28" s="19"/>
      <c r="AP28" s="19"/>
      <c r="AQ28" s="19"/>
    </row>
    <row r="29">
      <c r="A29" s="18">
        <v>46015.0</v>
      </c>
      <c r="B29" s="84">
        <f>IFERROR(__xludf.DUMMYFUNCTION("SUM(IMPORTRANGE(""1juk7449zs4jpNuI-o5X7XCsKjbIAXWPjQAMji4MmS2g"", ""12/2025!aj5:aj12""))"),136.7)</f>
        <v>136.7</v>
      </c>
      <c r="C29" s="79">
        <v>45.0</v>
      </c>
      <c r="D29" s="79">
        <v>21.0</v>
      </c>
      <c r="E29" s="79">
        <v>1.0</v>
      </c>
      <c r="F29" s="80">
        <f t="shared" si="17"/>
        <v>3.037777778</v>
      </c>
      <c r="G29" s="80">
        <f t="shared" si="16"/>
        <v>136.7</v>
      </c>
      <c r="H29" s="80">
        <f t="shared" si="18"/>
        <v>46.66666667</v>
      </c>
      <c r="I29" s="86">
        <f t="shared" si="4"/>
        <v>16.404</v>
      </c>
      <c r="K29" s="18">
        <v>46015.0</v>
      </c>
      <c r="L29" s="19">
        <f>IFERROR(__xludf.DUMMYFUNCTION("SUM(IMPORTRANGE(""1juk7449zs4jpNuI-o5X7XCsKjbIAXWPjQAMji4MmS2g"", ""12/2025!aj13:aj33""))"),254.23999999999998)</f>
        <v>254.24</v>
      </c>
      <c r="M29" s="33">
        <v>249.0</v>
      </c>
      <c r="N29" s="33">
        <v>110.0</v>
      </c>
      <c r="O29" s="33">
        <v>6.0</v>
      </c>
      <c r="P29" s="22">
        <f t="shared" si="5"/>
        <v>1.021044177</v>
      </c>
      <c r="Q29" s="23">
        <f t="shared" si="13"/>
        <v>42.37333333</v>
      </c>
      <c r="R29" s="23">
        <f t="shared" si="6"/>
        <v>44.17670683</v>
      </c>
      <c r="S29" s="23">
        <f t="shared" si="7"/>
        <v>25.424</v>
      </c>
      <c r="U29" s="18">
        <v>45985.0</v>
      </c>
      <c r="V29" s="19"/>
      <c r="W29" s="19"/>
      <c r="X29" s="19"/>
      <c r="Y29" s="19"/>
      <c r="Z29" s="19"/>
      <c r="AA29" s="19"/>
      <c r="AC29" s="18">
        <v>45985.0</v>
      </c>
      <c r="AD29" s="19"/>
      <c r="AE29" s="19"/>
      <c r="AF29" s="19"/>
      <c r="AG29" s="19"/>
      <c r="AH29" s="19"/>
      <c r="AI29" s="19"/>
      <c r="AK29" s="18">
        <v>45985.0</v>
      </c>
      <c r="AL29" s="19"/>
      <c r="AM29" s="19"/>
      <c r="AN29" s="19"/>
      <c r="AO29" s="19"/>
      <c r="AP29" s="19"/>
      <c r="AQ29" s="19"/>
    </row>
    <row r="30">
      <c r="A30" s="18">
        <v>46016.0</v>
      </c>
      <c r="B30" s="84">
        <f>IFERROR(__xludf.DUMMYFUNCTION("SUM(IMPORTRANGE(""1juk7449zs4jpNuI-o5X7XCsKjbIAXWPjQAMji4MmS2g"", ""12/2025!ak5:ak12""))"),195.7)</f>
        <v>195.7</v>
      </c>
      <c r="C30" s="79">
        <v>52.0</v>
      </c>
      <c r="D30" s="79">
        <v>23.0</v>
      </c>
      <c r="E30" s="79">
        <v>2.0</v>
      </c>
      <c r="F30" s="80">
        <f t="shared" si="17"/>
        <v>3.763461538</v>
      </c>
      <c r="G30" s="80">
        <f t="shared" si="16"/>
        <v>97.85</v>
      </c>
      <c r="H30" s="80">
        <f t="shared" si="18"/>
        <v>44.23076923</v>
      </c>
      <c r="I30" s="86">
        <f t="shared" si="4"/>
        <v>23.484</v>
      </c>
      <c r="K30" s="18">
        <v>46016.0</v>
      </c>
      <c r="L30" s="19">
        <f>IFERROR(__xludf.DUMMYFUNCTION("SUM(IMPORTRANGE(""1juk7449zs4jpNuI-o5X7XCsKjbIAXWPjQAMji4MmS2g"", ""12/2025!ak13:ak33""))"),308.77)</f>
        <v>308.77</v>
      </c>
      <c r="M30" s="33">
        <v>303.0</v>
      </c>
      <c r="N30" s="33">
        <v>135.0</v>
      </c>
      <c r="O30" s="33">
        <v>5.0</v>
      </c>
      <c r="P30" s="22">
        <f t="shared" si="5"/>
        <v>1.019042904</v>
      </c>
      <c r="Q30" s="23">
        <f t="shared" si="13"/>
        <v>61.754</v>
      </c>
      <c r="R30" s="23">
        <f t="shared" si="6"/>
        <v>44.55445545</v>
      </c>
      <c r="S30" s="23">
        <f t="shared" si="7"/>
        <v>30.877</v>
      </c>
      <c r="U30" s="18">
        <v>45986.0</v>
      </c>
      <c r="V30" s="19"/>
      <c r="W30" s="19"/>
      <c r="X30" s="19"/>
      <c r="Y30" s="19"/>
      <c r="Z30" s="19"/>
      <c r="AA30" s="19"/>
      <c r="AC30" s="18">
        <v>45986.0</v>
      </c>
      <c r="AD30" s="19"/>
      <c r="AE30" s="19"/>
      <c r="AF30" s="19"/>
      <c r="AG30" s="19"/>
      <c r="AH30" s="19"/>
      <c r="AI30" s="19"/>
      <c r="AK30" s="18">
        <v>45986.0</v>
      </c>
      <c r="AL30" s="19"/>
      <c r="AM30" s="19"/>
      <c r="AN30" s="19"/>
      <c r="AO30" s="19"/>
      <c r="AP30" s="19"/>
      <c r="AQ30" s="19"/>
    </row>
    <row r="31">
      <c r="A31" s="18">
        <v>46017.0</v>
      </c>
      <c r="B31" s="84">
        <f>IFERROR(__xludf.DUMMYFUNCTION("SUM(IMPORTRANGE(""1juk7449zs4jpNuI-o5X7XCsKjbIAXWPjQAMji4MmS2g"", ""12/2025!al5:al12""))"),172.62)</f>
        <v>172.62</v>
      </c>
      <c r="C31" s="79">
        <v>65.0</v>
      </c>
      <c r="D31" s="79">
        <v>17.0</v>
      </c>
      <c r="E31" s="79">
        <v>12.0</v>
      </c>
      <c r="F31" s="80">
        <f t="shared" si="17"/>
        <v>2.655692308</v>
      </c>
      <c r="G31" s="80">
        <f t="shared" si="16"/>
        <v>14.385</v>
      </c>
      <c r="H31" s="80">
        <f t="shared" si="18"/>
        <v>26.15384615</v>
      </c>
      <c r="I31" s="86">
        <f t="shared" si="4"/>
        <v>20.7144</v>
      </c>
      <c r="K31" s="18">
        <v>46017.0</v>
      </c>
      <c r="L31" s="19">
        <f>IFERROR(__xludf.DUMMYFUNCTION("SUM(IMPORTRANGE(""1juk7449zs4jpNuI-o5X7XCsKjbIAXWPjQAMji4MmS2g"", ""12/2025!al13:al33""))"),222.10999999999999)</f>
        <v>222.11</v>
      </c>
      <c r="M31" s="33">
        <v>247.0</v>
      </c>
      <c r="N31" s="33">
        <v>110.0</v>
      </c>
      <c r="O31" s="33">
        <v>3.0</v>
      </c>
      <c r="P31" s="22">
        <f t="shared" si="5"/>
        <v>0.8992307692</v>
      </c>
      <c r="Q31" s="23">
        <f t="shared" si="13"/>
        <v>74.03666667</v>
      </c>
      <c r="R31" s="23">
        <f t="shared" si="6"/>
        <v>44.53441296</v>
      </c>
      <c r="S31" s="23">
        <f t="shared" si="7"/>
        <v>22.211</v>
      </c>
      <c r="U31" s="18">
        <v>45987.0</v>
      </c>
      <c r="V31" s="19"/>
      <c r="W31" s="19"/>
      <c r="X31" s="19"/>
      <c r="Y31" s="19"/>
      <c r="Z31" s="19"/>
      <c r="AA31" s="19"/>
      <c r="AC31" s="18">
        <v>45987.0</v>
      </c>
      <c r="AD31" s="19"/>
      <c r="AE31" s="19"/>
      <c r="AF31" s="19"/>
      <c r="AG31" s="19"/>
      <c r="AH31" s="19"/>
      <c r="AI31" s="19"/>
      <c r="AK31" s="18">
        <v>45987.0</v>
      </c>
      <c r="AL31" s="19"/>
      <c r="AM31" s="19"/>
      <c r="AN31" s="19"/>
      <c r="AO31" s="19"/>
      <c r="AP31" s="19"/>
      <c r="AQ31" s="19"/>
    </row>
    <row r="32">
      <c r="A32" s="18">
        <v>46018.0</v>
      </c>
      <c r="B32" s="84">
        <f>IFERROR(__xludf.DUMMYFUNCTION("SUM(IMPORTRANGE(""1juk7449zs4jpNuI-o5X7XCsKjbIAXWPjQAMji4MmS2g"", ""12/2025!am5:am12""))"),99.97)</f>
        <v>99.97</v>
      </c>
      <c r="C32" s="79">
        <v>33.0</v>
      </c>
      <c r="D32" s="79">
        <v>19.0</v>
      </c>
      <c r="E32" s="79">
        <v>1.0</v>
      </c>
      <c r="F32" s="80">
        <f t="shared" si="17"/>
        <v>3.029393939</v>
      </c>
      <c r="G32" s="80">
        <f t="shared" si="16"/>
        <v>99.97</v>
      </c>
      <c r="H32" s="80">
        <f t="shared" si="18"/>
        <v>57.57575758</v>
      </c>
      <c r="I32" s="86">
        <f t="shared" si="4"/>
        <v>11.9964</v>
      </c>
      <c r="K32" s="18">
        <v>46018.0</v>
      </c>
      <c r="L32" s="19">
        <f>IFERROR(__xludf.DUMMYFUNCTION("SUM(IMPORTRANGE(""1juk7449zs4jpNuI-o5X7XCsKjbIAXWPjQAMji4MmS2g"", ""12/2025!am13:am33""))"),300.30999999999995)</f>
        <v>300.31</v>
      </c>
      <c r="M32" s="33">
        <v>299.0</v>
      </c>
      <c r="N32" s="33">
        <v>145.0</v>
      </c>
      <c r="O32" s="33">
        <v>9.0</v>
      </c>
      <c r="P32" s="22">
        <f t="shared" si="5"/>
        <v>1.004381271</v>
      </c>
      <c r="Q32" s="23">
        <f t="shared" si="13"/>
        <v>33.36777778</v>
      </c>
      <c r="R32" s="23">
        <f t="shared" si="6"/>
        <v>48.49498328</v>
      </c>
      <c r="S32" s="23">
        <f t="shared" si="7"/>
        <v>30.031</v>
      </c>
      <c r="U32" s="18">
        <v>45988.0</v>
      </c>
      <c r="V32" s="19"/>
      <c r="W32" s="19"/>
      <c r="X32" s="19"/>
      <c r="Y32" s="19"/>
      <c r="Z32" s="19"/>
      <c r="AA32" s="19"/>
      <c r="AC32" s="18">
        <v>45988.0</v>
      </c>
      <c r="AD32" s="19"/>
      <c r="AE32" s="19"/>
      <c r="AF32" s="19"/>
      <c r="AG32" s="19"/>
      <c r="AH32" s="19"/>
      <c r="AI32" s="19"/>
      <c r="AK32" s="18">
        <v>45988.0</v>
      </c>
      <c r="AL32" s="19"/>
      <c r="AM32" s="19"/>
      <c r="AN32" s="19"/>
      <c r="AO32" s="19"/>
      <c r="AP32" s="19"/>
      <c r="AQ32" s="19"/>
    </row>
    <row r="33">
      <c r="A33" s="18">
        <v>46019.0</v>
      </c>
      <c r="B33" s="84">
        <f>IFERROR(__xludf.DUMMYFUNCTION("SUM(IMPORTRANGE(""1juk7449zs4jpNuI-o5X7XCsKjbIAXWPjQAMji4MmS2g"", ""12/2025!an5:an12""))"),0.0)</f>
        <v>0</v>
      </c>
      <c r="C33" s="84"/>
      <c r="D33" s="84"/>
      <c r="E33" s="84"/>
      <c r="F33" s="80"/>
      <c r="G33" s="80"/>
      <c r="H33" s="80"/>
      <c r="I33" s="86">
        <f t="shared" si="4"/>
        <v>0</v>
      </c>
      <c r="K33" s="18">
        <v>46019.0</v>
      </c>
      <c r="L33" s="19">
        <f>IFERROR(__xludf.DUMMYFUNCTION("SUM(IMPORTRANGE(""1juk7449zs4jpNuI-o5X7XCsKjbIAXWPjQAMji4MmS2g"", ""12/2025!an13:an33""))"),321.34000000000003)</f>
        <v>321.34</v>
      </c>
      <c r="M33" s="33">
        <v>352.0</v>
      </c>
      <c r="N33" s="33">
        <v>166.0</v>
      </c>
      <c r="O33" s="33">
        <v>7.0</v>
      </c>
      <c r="P33" s="22">
        <f t="shared" si="5"/>
        <v>0.9128977273</v>
      </c>
      <c r="Q33" s="23">
        <f t="shared" si="13"/>
        <v>45.90571429</v>
      </c>
      <c r="R33" s="23">
        <f t="shared" si="6"/>
        <v>47.15909091</v>
      </c>
      <c r="S33" s="23">
        <f t="shared" si="7"/>
        <v>32.134</v>
      </c>
      <c r="U33" s="18">
        <v>45989.0</v>
      </c>
      <c r="V33" s="19"/>
      <c r="W33" s="19"/>
      <c r="X33" s="19"/>
      <c r="Y33" s="19"/>
      <c r="Z33" s="19"/>
      <c r="AA33" s="19"/>
      <c r="AC33" s="18">
        <v>45989.0</v>
      </c>
      <c r="AD33" s="19"/>
      <c r="AE33" s="19"/>
      <c r="AF33" s="19"/>
      <c r="AG33" s="19"/>
      <c r="AH33" s="19"/>
      <c r="AI33" s="19"/>
      <c r="AK33" s="18">
        <v>45989.0</v>
      </c>
      <c r="AL33" s="19"/>
      <c r="AM33" s="19"/>
      <c r="AN33" s="19"/>
      <c r="AO33" s="19"/>
      <c r="AP33" s="19"/>
      <c r="AQ33" s="19"/>
    </row>
    <row r="34">
      <c r="A34" s="18">
        <v>46020.0</v>
      </c>
      <c r="B34" s="84">
        <f>IFERROR(__xludf.DUMMYFUNCTION("SUM(IMPORTRANGE(""1juk7449zs4jpNuI-o5X7XCsKjbIAXWPjQAMji4MmS2g"", ""12/2025!ao5:ao12""))"),0.0)</f>
        <v>0</v>
      </c>
      <c r="C34" s="84"/>
      <c r="D34" s="84"/>
      <c r="E34" s="84"/>
      <c r="F34" s="84"/>
      <c r="G34" s="84"/>
      <c r="H34" s="84"/>
      <c r="I34" s="86">
        <f t="shared" si="4"/>
        <v>0</v>
      </c>
      <c r="K34" s="18">
        <v>46020.0</v>
      </c>
      <c r="L34" s="19">
        <f>IFERROR(__xludf.DUMMYFUNCTION("SUM(IMPORTRANGE(""1juk7449zs4jpNuI-o5X7XCsKjbIAXWPjQAMji4MmS2g"", ""12/2025!ao13:ao33""))"),285.61)</f>
        <v>285.61</v>
      </c>
      <c r="M34" s="33">
        <v>299.0</v>
      </c>
      <c r="N34" s="33">
        <v>132.0</v>
      </c>
      <c r="O34" s="33">
        <v>4.0</v>
      </c>
      <c r="P34" s="22">
        <f t="shared" si="5"/>
        <v>0.9552173913</v>
      </c>
      <c r="Q34" s="23">
        <f t="shared" si="13"/>
        <v>71.4025</v>
      </c>
      <c r="R34" s="23">
        <f t="shared" si="6"/>
        <v>44.14715719</v>
      </c>
      <c r="S34" s="23">
        <f t="shared" si="7"/>
        <v>28.561</v>
      </c>
      <c r="U34" s="18">
        <v>45990.0</v>
      </c>
      <c r="V34" s="19"/>
      <c r="W34" s="19"/>
      <c r="X34" s="19"/>
      <c r="Y34" s="19"/>
      <c r="Z34" s="19"/>
      <c r="AA34" s="19"/>
      <c r="AC34" s="18">
        <v>45990.0</v>
      </c>
      <c r="AD34" s="19"/>
      <c r="AE34" s="19"/>
      <c r="AF34" s="19"/>
      <c r="AG34" s="19"/>
      <c r="AH34" s="19"/>
      <c r="AI34" s="19"/>
      <c r="AK34" s="18">
        <v>45990.0</v>
      </c>
      <c r="AL34" s="19"/>
      <c r="AM34" s="19"/>
      <c r="AN34" s="19"/>
      <c r="AO34" s="19"/>
      <c r="AP34" s="19"/>
      <c r="AQ34" s="19"/>
    </row>
    <row r="35">
      <c r="A35" s="18">
        <v>46021.0</v>
      </c>
      <c r="B35" s="84">
        <f>IFERROR(__xludf.DUMMYFUNCTION("SUM(IMPORTRANGE(""1juk7449zs4jpNuI-o5X7XCsKjbIAXWPjQAMji4MmS2g"", ""12/2025!ap5:ap12""))"),0.0)</f>
        <v>0</v>
      </c>
      <c r="C35" s="84"/>
      <c r="D35" s="84"/>
      <c r="E35" s="84"/>
      <c r="F35" s="84"/>
      <c r="G35" s="84"/>
      <c r="H35" s="84"/>
      <c r="I35" s="86">
        <f t="shared" si="4"/>
        <v>0</v>
      </c>
      <c r="K35" s="18">
        <v>46021.0</v>
      </c>
      <c r="L35" s="19">
        <f>IFERROR(__xludf.DUMMYFUNCTION("SUM(IMPORTRANGE(""1juk7449zs4jpNuI-o5X7XCsKjbIAXWPjQAMji4MmS2g"", ""12/2025!ap13:ap33""))"),190.20000000000002)</f>
        <v>190.2</v>
      </c>
      <c r="M35" s="33">
        <v>194.0</v>
      </c>
      <c r="N35" s="33">
        <v>94.0</v>
      </c>
      <c r="O35" s="33">
        <v>2.0</v>
      </c>
      <c r="P35" s="22">
        <f t="shared" si="5"/>
        <v>0.9804123711</v>
      </c>
      <c r="Q35" s="23">
        <f t="shared" si="13"/>
        <v>95.1</v>
      </c>
      <c r="R35" s="23">
        <f t="shared" si="6"/>
        <v>48.45360825</v>
      </c>
      <c r="S35" s="23">
        <f t="shared" si="7"/>
        <v>19.02</v>
      </c>
      <c r="U35" s="18">
        <v>45991.0</v>
      </c>
      <c r="V35" s="19"/>
      <c r="W35" s="19"/>
      <c r="X35" s="19"/>
      <c r="Y35" s="19"/>
      <c r="Z35" s="19"/>
      <c r="AA35" s="19"/>
      <c r="AC35" s="18">
        <v>45991.0</v>
      </c>
      <c r="AD35" s="19"/>
      <c r="AE35" s="19"/>
      <c r="AF35" s="19"/>
      <c r="AG35" s="19"/>
      <c r="AH35" s="19"/>
      <c r="AI35" s="19"/>
      <c r="AK35" s="18">
        <v>45991.0</v>
      </c>
      <c r="AL35" s="19"/>
      <c r="AM35" s="19"/>
      <c r="AN35" s="19"/>
      <c r="AO35" s="19"/>
      <c r="AP35" s="19"/>
      <c r="AQ35" s="19"/>
    </row>
    <row r="36">
      <c r="A36" s="18">
        <v>46022.0</v>
      </c>
      <c r="B36" s="84">
        <f>IFERROR(__xludf.DUMMYFUNCTION("SUM(IMPORTRANGE(""1juk7449zs4jpNuI-o5X7XCsKjbIAXWPjQAMji4MmS2g"", ""12/2025!aq5:aq12""))"),0.0)</f>
        <v>0</v>
      </c>
      <c r="C36" s="87"/>
      <c r="D36" s="87"/>
      <c r="E36" s="87"/>
      <c r="F36" s="87"/>
      <c r="G36" s="87"/>
      <c r="H36" s="87"/>
      <c r="I36" s="86">
        <f t="shared" si="4"/>
        <v>0</v>
      </c>
      <c r="K36" s="88">
        <v>46022.0</v>
      </c>
      <c r="L36" s="19">
        <f>IFERROR(__xludf.DUMMYFUNCTION("SUM(IMPORTRANGE(""1juk7449zs4jpNuI-o5X7XCsKjbIAXWPjQAMji4MmS2g"", ""12/2025!aq13:aq33""))"),0.0)</f>
        <v>0</v>
      </c>
      <c r="M36" s="33">
        <v>1.0</v>
      </c>
      <c r="N36" s="33">
        <v>11.0</v>
      </c>
      <c r="O36" s="33">
        <v>2.0</v>
      </c>
      <c r="P36" s="22">
        <f t="shared" si="5"/>
        <v>0</v>
      </c>
      <c r="Q36" s="23">
        <f t="shared" si="13"/>
        <v>0</v>
      </c>
      <c r="R36" s="23">
        <f t="shared" si="6"/>
        <v>1100</v>
      </c>
      <c r="S36" s="23">
        <f t="shared" si="7"/>
        <v>0</v>
      </c>
    </row>
    <row r="37">
      <c r="A37" s="35" t="s">
        <v>14</v>
      </c>
      <c r="B37" s="36">
        <f t="shared" ref="B37:E37" si="19">SUM(B6:B35)</f>
        <v>4137.14</v>
      </c>
      <c r="C37" s="36">
        <f t="shared" si="19"/>
        <v>1056</v>
      </c>
      <c r="D37" s="36">
        <f t="shared" si="19"/>
        <v>478</v>
      </c>
      <c r="E37" s="36">
        <f t="shared" si="19"/>
        <v>71</v>
      </c>
      <c r="F37" s="38">
        <f>B37/C37</f>
        <v>3.917746212</v>
      </c>
      <c r="G37" s="38">
        <f>B37/E37</f>
        <v>58.26957746</v>
      </c>
      <c r="H37" s="38">
        <f>D37/C37*100</f>
        <v>45.26515152</v>
      </c>
      <c r="I37" s="89">
        <f t="shared" si="4"/>
        <v>496.4568</v>
      </c>
      <c r="K37" s="35" t="s">
        <v>14</v>
      </c>
      <c r="L37" s="36">
        <f>SUM(L6:L35)</f>
        <v>9693.86</v>
      </c>
      <c r="M37" s="36">
        <f t="shared" ref="M37:O37" si="20">SUM(M6:M36)</f>
        <v>5381</v>
      </c>
      <c r="N37" s="36">
        <f t="shared" si="20"/>
        <v>2414</v>
      </c>
      <c r="O37" s="36">
        <f t="shared" si="20"/>
        <v>103</v>
      </c>
      <c r="P37" s="38">
        <f t="shared" si="5"/>
        <v>1.801497863</v>
      </c>
      <c r="Q37" s="38">
        <f t="shared" si="13"/>
        <v>94.11514563</v>
      </c>
      <c r="R37" s="38">
        <f t="shared" si="6"/>
        <v>44.8615499</v>
      </c>
      <c r="S37" s="23">
        <f>SUM(S6:S36)</f>
        <v>969.386</v>
      </c>
      <c r="U37" s="35" t="s">
        <v>14</v>
      </c>
      <c r="V37" s="36">
        <f t="shared" ref="V37:AA37" si="21">SUM(V6:V35)</f>
        <v>0</v>
      </c>
      <c r="W37" s="36">
        <f t="shared" si="21"/>
        <v>0</v>
      </c>
      <c r="X37" s="36">
        <f t="shared" si="21"/>
        <v>0</v>
      </c>
      <c r="Y37" s="36">
        <f t="shared" si="21"/>
        <v>0</v>
      </c>
      <c r="Z37" s="36">
        <f t="shared" si="21"/>
        <v>0</v>
      </c>
      <c r="AA37" s="36">
        <f t="shared" si="21"/>
        <v>0</v>
      </c>
      <c r="AC37" s="35" t="s">
        <v>14</v>
      </c>
      <c r="AD37" s="36">
        <f t="shared" ref="AD37:AI37" si="22">SUM(AD6:AD35)</f>
        <v>0</v>
      </c>
      <c r="AE37" s="36">
        <f t="shared" si="22"/>
        <v>0</v>
      </c>
      <c r="AF37" s="36">
        <f t="shared" si="22"/>
        <v>0</v>
      </c>
      <c r="AG37" s="36">
        <f t="shared" si="22"/>
        <v>0</v>
      </c>
      <c r="AH37" s="36">
        <f t="shared" si="22"/>
        <v>0</v>
      </c>
      <c r="AI37" s="36">
        <f t="shared" si="22"/>
        <v>0</v>
      </c>
      <c r="AK37" s="35" t="s">
        <v>14</v>
      </c>
      <c r="AL37" s="36">
        <f t="shared" ref="AL37:AQ37" si="23">SUM(AL6:AL35)</f>
        <v>0</v>
      </c>
      <c r="AM37" s="36">
        <f t="shared" si="23"/>
        <v>0</v>
      </c>
      <c r="AN37" s="36">
        <f t="shared" si="23"/>
        <v>0</v>
      </c>
      <c r="AO37" s="36">
        <f t="shared" si="23"/>
        <v>0</v>
      </c>
      <c r="AP37" s="36">
        <f t="shared" si="23"/>
        <v>0</v>
      </c>
      <c r="AQ37" s="36">
        <f t="shared" si="23"/>
        <v>0</v>
      </c>
    </row>
  </sheetData>
  <mergeCells count="10">
    <mergeCell ref="AC3:AI3"/>
    <mergeCell ref="AC4:AI4"/>
    <mergeCell ref="A3:H3"/>
    <mergeCell ref="K3:R3"/>
    <mergeCell ref="U3:AA3"/>
    <mergeCell ref="AK3:AQ3"/>
    <mergeCell ref="A4:H4"/>
    <mergeCell ref="K4:R4"/>
    <mergeCell ref="U4:AA4"/>
    <mergeCell ref="AK4:AQ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6" max="6" width="18.14"/>
  </cols>
  <sheetData>
    <row r="3">
      <c r="A3" s="70" t="s">
        <v>15</v>
      </c>
      <c r="B3" s="2"/>
      <c r="C3" s="2"/>
      <c r="D3" s="2"/>
      <c r="E3" s="2"/>
      <c r="F3" s="2"/>
      <c r="G3" s="2"/>
      <c r="H3" s="2"/>
      <c r="I3" s="3"/>
      <c r="K3" s="70" t="s">
        <v>19</v>
      </c>
      <c r="L3" s="2"/>
      <c r="M3" s="2"/>
      <c r="N3" s="2"/>
      <c r="O3" s="2"/>
      <c r="P3" s="2"/>
      <c r="Q3" s="2"/>
      <c r="R3" s="3"/>
      <c r="S3" s="19"/>
      <c r="U3" s="70" t="s">
        <v>20</v>
      </c>
      <c r="V3" s="2"/>
      <c r="W3" s="2"/>
      <c r="X3" s="2"/>
      <c r="Y3" s="2"/>
      <c r="Z3" s="2"/>
      <c r="AA3" s="2"/>
      <c r="AB3" s="3"/>
      <c r="AC3" s="6"/>
    </row>
    <row r="4">
      <c r="A4" s="70">
        <v>7.59443220489882E14</v>
      </c>
      <c r="B4" s="2"/>
      <c r="C4" s="2"/>
      <c r="D4" s="2"/>
      <c r="E4" s="2"/>
      <c r="F4" s="2"/>
      <c r="G4" s="2"/>
      <c r="H4" s="2"/>
      <c r="I4" s="3"/>
      <c r="K4" s="90">
        <v>1.80789034983633E15</v>
      </c>
      <c r="L4" s="2"/>
      <c r="M4" s="2"/>
      <c r="N4" s="2"/>
      <c r="O4" s="2"/>
      <c r="P4" s="2"/>
      <c r="Q4" s="2"/>
      <c r="R4" s="3"/>
      <c r="S4" s="19"/>
      <c r="U4" s="70" t="s">
        <v>21</v>
      </c>
      <c r="V4" s="2"/>
      <c r="W4" s="2"/>
      <c r="X4" s="2"/>
      <c r="Y4" s="2"/>
      <c r="Z4" s="2"/>
      <c r="AA4" s="2"/>
      <c r="AB4" s="3"/>
      <c r="AC4" s="6"/>
    </row>
    <row r="5">
      <c r="A5" s="9" t="s">
        <v>3</v>
      </c>
      <c r="B5" s="9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0" t="s">
        <v>10</v>
      </c>
      <c r="I5" s="91" t="s">
        <v>11</v>
      </c>
      <c r="K5" s="9" t="s">
        <v>3</v>
      </c>
      <c r="L5" s="9" t="s">
        <v>4</v>
      </c>
      <c r="M5" s="10" t="s">
        <v>5</v>
      </c>
      <c r="N5" s="10" t="s">
        <v>6</v>
      </c>
      <c r="O5" s="10" t="s">
        <v>7</v>
      </c>
      <c r="P5" s="10" t="s">
        <v>8</v>
      </c>
      <c r="Q5" s="10" t="s">
        <v>10</v>
      </c>
      <c r="R5" s="10" t="s">
        <v>9</v>
      </c>
      <c r="S5" s="45" t="s">
        <v>11</v>
      </c>
      <c r="U5" s="9" t="s">
        <v>3</v>
      </c>
      <c r="V5" s="9" t="s">
        <v>4</v>
      </c>
      <c r="W5" s="10" t="s">
        <v>5</v>
      </c>
      <c r="X5" s="10" t="s">
        <v>6</v>
      </c>
      <c r="Y5" s="10" t="s">
        <v>7</v>
      </c>
      <c r="Z5" s="10" t="s">
        <v>8</v>
      </c>
      <c r="AA5" s="10" t="s">
        <v>10</v>
      </c>
      <c r="AB5" s="10" t="s">
        <v>9</v>
      </c>
      <c r="AC5" s="17"/>
    </row>
    <row r="6">
      <c r="A6" s="18">
        <v>45992.0</v>
      </c>
      <c r="B6" s="92">
        <f>152.98+15.57+82.88</f>
        <v>251.43</v>
      </c>
      <c r="C6" s="33">
        <v>38.0</v>
      </c>
      <c r="D6" s="33">
        <v>23.0</v>
      </c>
      <c r="E6" s="33">
        <v>1.0</v>
      </c>
      <c r="F6" s="23">
        <f t="shared" ref="F6:F8" si="1">B6/C6</f>
        <v>6.616578947</v>
      </c>
      <c r="G6" s="23">
        <f t="shared" ref="G6:G8" si="2">B6/E6</f>
        <v>251.43</v>
      </c>
      <c r="H6" s="23">
        <f t="shared" ref="H6:H8" si="3">D6/C6*100</f>
        <v>60.52631579</v>
      </c>
      <c r="I6" s="23">
        <f t="shared" ref="I6:I36" si="4">B6*0.1</f>
        <v>25.143</v>
      </c>
      <c r="K6" s="18">
        <v>45992.0</v>
      </c>
      <c r="L6" s="19"/>
      <c r="M6" s="19"/>
      <c r="N6" s="19"/>
      <c r="O6" s="19"/>
      <c r="P6" s="19"/>
      <c r="Q6" s="19"/>
      <c r="R6" s="19"/>
      <c r="S6" s="19"/>
      <c r="U6" s="18">
        <v>45962.0</v>
      </c>
      <c r="V6" s="19"/>
      <c r="W6" s="19"/>
      <c r="X6" s="19"/>
      <c r="Y6" s="19"/>
      <c r="Z6" s="19"/>
      <c r="AA6" s="19"/>
      <c r="AB6" s="19"/>
    </row>
    <row r="7">
      <c r="A7" s="18">
        <v>45993.0</v>
      </c>
      <c r="B7" s="92">
        <f>109.68+106.98+125.39</f>
        <v>342.05</v>
      </c>
      <c r="C7" s="33">
        <v>53.0</v>
      </c>
      <c r="D7" s="33">
        <v>21.0</v>
      </c>
      <c r="E7" s="33">
        <v>2.0</v>
      </c>
      <c r="F7" s="23">
        <f t="shared" si="1"/>
        <v>6.453773585</v>
      </c>
      <c r="G7" s="23">
        <f t="shared" si="2"/>
        <v>171.025</v>
      </c>
      <c r="H7" s="23">
        <f t="shared" si="3"/>
        <v>39.62264151</v>
      </c>
      <c r="I7" s="23">
        <f t="shared" si="4"/>
        <v>34.205</v>
      </c>
      <c r="K7" s="18">
        <v>45993.0</v>
      </c>
      <c r="L7" s="19"/>
      <c r="M7" s="19"/>
      <c r="N7" s="19"/>
      <c r="O7" s="19"/>
      <c r="P7" s="19"/>
      <c r="Q7" s="19"/>
      <c r="R7" s="19"/>
      <c r="S7" s="19"/>
      <c r="U7" s="18">
        <v>45963.0</v>
      </c>
      <c r="V7" s="19"/>
      <c r="W7" s="19"/>
      <c r="X7" s="19"/>
      <c r="Y7" s="19"/>
      <c r="Z7" s="19"/>
      <c r="AA7" s="19"/>
      <c r="AB7" s="19"/>
    </row>
    <row r="8">
      <c r="A8" s="18">
        <v>45994.0</v>
      </c>
      <c r="B8" s="92">
        <f>72.52+72.49+164.71</f>
        <v>309.72</v>
      </c>
      <c r="C8" s="33">
        <v>68.0</v>
      </c>
      <c r="D8" s="33">
        <v>38.0</v>
      </c>
      <c r="E8" s="33">
        <v>1.0</v>
      </c>
      <c r="F8" s="23">
        <f t="shared" si="1"/>
        <v>4.554705882</v>
      </c>
      <c r="G8" s="23">
        <f t="shared" si="2"/>
        <v>309.72</v>
      </c>
      <c r="H8" s="23">
        <f t="shared" si="3"/>
        <v>55.88235294</v>
      </c>
      <c r="I8" s="23">
        <f t="shared" si="4"/>
        <v>30.972</v>
      </c>
      <c r="K8" s="18">
        <v>45994.0</v>
      </c>
      <c r="L8" s="19"/>
      <c r="M8" s="19"/>
      <c r="N8" s="19"/>
      <c r="O8" s="19"/>
      <c r="P8" s="19"/>
      <c r="Q8" s="19"/>
      <c r="R8" s="19"/>
      <c r="S8" s="19"/>
      <c r="U8" s="18">
        <v>45964.0</v>
      </c>
      <c r="V8" s="19"/>
      <c r="W8" s="19"/>
      <c r="X8" s="19"/>
      <c r="Y8" s="19"/>
      <c r="Z8" s="19"/>
      <c r="AA8" s="19"/>
      <c r="AB8" s="19"/>
    </row>
    <row r="9">
      <c r="A9" s="18">
        <v>45995.0</v>
      </c>
      <c r="B9" s="92">
        <f>141.69+43.65+184.03</f>
        <v>369.37</v>
      </c>
      <c r="C9" s="33">
        <v>72.0</v>
      </c>
      <c r="D9" s="33">
        <v>42.0</v>
      </c>
      <c r="E9" s="19"/>
      <c r="F9" s="23"/>
      <c r="G9" s="23"/>
      <c r="H9" s="23"/>
      <c r="I9" s="23">
        <f t="shared" si="4"/>
        <v>36.937</v>
      </c>
      <c r="K9" s="18">
        <v>45995.0</v>
      </c>
      <c r="L9" s="19"/>
      <c r="M9" s="19"/>
      <c r="N9" s="19"/>
      <c r="O9" s="19"/>
      <c r="P9" s="19"/>
      <c r="Q9" s="19"/>
      <c r="R9" s="19"/>
      <c r="S9" s="19"/>
      <c r="U9" s="18">
        <v>45965.0</v>
      </c>
      <c r="V9" s="19"/>
      <c r="W9" s="19"/>
      <c r="X9" s="19"/>
      <c r="Y9" s="19"/>
      <c r="Z9" s="19"/>
      <c r="AA9" s="19"/>
      <c r="AB9" s="19"/>
    </row>
    <row r="10">
      <c r="A10" s="18">
        <v>45996.0</v>
      </c>
      <c r="B10" s="92">
        <f>179.4+106.68+71.73</f>
        <v>357.81</v>
      </c>
      <c r="C10" s="33">
        <v>65.0</v>
      </c>
      <c r="D10" s="33">
        <v>41.0</v>
      </c>
      <c r="E10" s="33">
        <v>2.0</v>
      </c>
      <c r="F10" s="23"/>
      <c r="G10" s="23"/>
      <c r="H10" s="23"/>
      <c r="I10" s="23">
        <f t="shared" si="4"/>
        <v>35.781</v>
      </c>
      <c r="K10" s="18">
        <v>45996.0</v>
      </c>
      <c r="L10" s="19"/>
      <c r="M10" s="19"/>
      <c r="N10" s="19"/>
      <c r="O10" s="19"/>
      <c r="P10" s="19"/>
      <c r="Q10" s="19"/>
      <c r="R10" s="19"/>
      <c r="S10" s="19"/>
      <c r="U10" s="18">
        <v>45966.0</v>
      </c>
      <c r="V10" s="19"/>
      <c r="W10" s="19"/>
      <c r="X10" s="19"/>
      <c r="Y10" s="19"/>
      <c r="Z10" s="19"/>
      <c r="AA10" s="19"/>
      <c r="AB10" s="19"/>
    </row>
    <row r="11">
      <c r="A11" s="18">
        <v>45997.0</v>
      </c>
      <c r="B11" s="93">
        <f>83.36+
55.95+
123.04</f>
        <v>262.35</v>
      </c>
      <c r="C11" s="33">
        <v>132.0</v>
      </c>
      <c r="D11" s="33">
        <v>66.0</v>
      </c>
      <c r="E11" s="33">
        <v>1.0</v>
      </c>
      <c r="F11" s="23">
        <f t="shared" ref="F11:F31" si="5">B11/C11</f>
        <v>1.9875</v>
      </c>
      <c r="G11" s="23">
        <f>B11/E11</f>
        <v>262.35</v>
      </c>
      <c r="H11" s="23">
        <f t="shared" ref="H11:H31" si="6">D11/C11*100</f>
        <v>50</v>
      </c>
      <c r="I11" s="23">
        <f t="shared" si="4"/>
        <v>26.235</v>
      </c>
      <c r="K11" s="18">
        <v>45997.0</v>
      </c>
      <c r="L11" s="19"/>
      <c r="M11" s="19"/>
      <c r="N11" s="19"/>
      <c r="O11" s="19"/>
      <c r="P11" s="19"/>
      <c r="Q11" s="19"/>
      <c r="R11" s="19"/>
      <c r="S11" s="19"/>
      <c r="U11" s="18">
        <v>45967.0</v>
      </c>
      <c r="V11" s="19"/>
      <c r="W11" s="19"/>
      <c r="X11" s="19"/>
      <c r="Y11" s="19"/>
      <c r="Z11" s="19"/>
      <c r="AA11" s="19"/>
      <c r="AB11" s="19"/>
    </row>
    <row r="12">
      <c r="A12" s="18">
        <v>45998.0</v>
      </c>
      <c r="B12" s="33"/>
      <c r="C12" s="33">
        <v>147.0</v>
      </c>
      <c r="D12" s="33">
        <v>100.0</v>
      </c>
      <c r="E12" s="19"/>
      <c r="F12" s="23">
        <f t="shared" si="5"/>
        <v>0</v>
      </c>
      <c r="G12" s="23"/>
      <c r="H12" s="23">
        <f t="shared" si="6"/>
        <v>68.02721088</v>
      </c>
      <c r="I12" s="23">
        <f t="shared" si="4"/>
        <v>0</v>
      </c>
      <c r="K12" s="18">
        <v>45998.0</v>
      </c>
      <c r="L12" s="19"/>
      <c r="M12" s="19"/>
      <c r="N12" s="19"/>
      <c r="O12" s="19"/>
      <c r="P12" s="19"/>
      <c r="Q12" s="19"/>
      <c r="R12" s="19"/>
      <c r="S12" s="19"/>
      <c r="U12" s="18">
        <v>45968.0</v>
      </c>
      <c r="V12" s="19"/>
      <c r="W12" s="19"/>
      <c r="X12" s="19"/>
      <c r="Y12" s="19"/>
      <c r="Z12" s="19"/>
      <c r="AA12" s="19"/>
      <c r="AB12" s="19"/>
    </row>
    <row r="13">
      <c r="A13" s="18">
        <v>45999.0</v>
      </c>
      <c r="B13" s="33"/>
      <c r="C13" s="33">
        <v>79.0</v>
      </c>
      <c r="D13" s="33">
        <v>47.0</v>
      </c>
      <c r="E13" s="33">
        <v>3.0</v>
      </c>
      <c r="F13" s="23">
        <f t="shared" si="5"/>
        <v>0</v>
      </c>
      <c r="G13" s="23">
        <f t="shared" ref="G13:G31" si="7">B13/E13</f>
        <v>0</v>
      </c>
      <c r="H13" s="23">
        <f t="shared" si="6"/>
        <v>59.49367089</v>
      </c>
      <c r="I13" s="23">
        <f t="shared" si="4"/>
        <v>0</v>
      </c>
      <c r="K13" s="18">
        <v>45999.0</v>
      </c>
      <c r="L13" s="19"/>
      <c r="M13" s="19"/>
      <c r="N13" s="19"/>
      <c r="O13" s="19"/>
      <c r="P13" s="19"/>
      <c r="Q13" s="19"/>
      <c r="R13" s="19"/>
      <c r="S13" s="19"/>
      <c r="U13" s="18">
        <v>45969.0</v>
      </c>
      <c r="V13" s="19"/>
      <c r="W13" s="19"/>
      <c r="X13" s="19"/>
      <c r="Y13" s="19"/>
      <c r="Z13" s="19"/>
      <c r="AA13" s="19"/>
      <c r="AB13" s="19"/>
    </row>
    <row r="14">
      <c r="A14" s="18">
        <v>46000.0</v>
      </c>
      <c r="B14" s="71">
        <f>IFERROR(__xludf.DUMMYFUNCTION("TRANSPOSE(IMPORTRANGE(""1mLYrOR0lYe8tWsFhslUhEyhEhRjCr_h4lljPfqzhMvE"", ""DailySpend_Dec25!P5:al5""))"),276.16)</f>
        <v>276.16</v>
      </c>
      <c r="C14" s="33">
        <v>85.0</v>
      </c>
      <c r="D14" s="33">
        <v>51.0</v>
      </c>
      <c r="E14" s="33">
        <v>3.0</v>
      </c>
      <c r="F14" s="23">
        <f t="shared" si="5"/>
        <v>3.248941176</v>
      </c>
      <c r="G14" s="23">
        <f t="shared" si="7"/>
        <v>92.05333333</v>
      </c>
      <c r="H14" s="23">
        <f t="shared" si="6"/>
        <v>60</v>
      </c>
      <c r="I14" s="23">
        <f t="shared" si="4"/>
        <v>27.616</v>
      </c>
      <c r="K14" s="18">
        <v>46000.0</v>
      </c>
      <c r="L14" s="19"/>
      <c r="M14" s="19"/>
      <c r="N14" s="19"/>
      <c r="O14" s="19"/>
      <c r="P14" s="19"/>
      <c r="Q14" s="19"/>
      <c r="R14" s="19"/>
      <c r="S14" s="19"/>
      <c r="U14" s="18">
        <v>45970.0</v>
      </c>
      <c r="V14" s="19"/>
      <c r="W14" s="19"/>
      <c r="X14" s="19"/>
      <c r="Y14" s="19"/>
      <c r="Z14" s="19"/>
      <c r="AA14" s="19"/>
      <c r="AB14" s="19"/>
    </row>
    <row r="15">
      <c r="A15" s="18">
        <v>46001.0</v>
      </c>
      <c r="B15" s="71">
        <f>IFERROR(__xludf.DUMMYFUNCTION("""COMPUTED_VALUE"""),217.9)</f>
        <v>217.9</v>
      </c>
      <c r="C15" s="33">
        <v>61.0</v>
      </c>
      <c r="D15" s="33">
        <v>35.0</v>
      </c>
      <c r="E15" s="33">
        <v>4.0</v>
      </c>
      <c r="F15" s="23">
        <f t="shared" si="5"/>
        <v>3.572131148</v>
      </c>
      <c r="G15" s="23">
        <f t="shared" si="7"/>
        <v>54.475</v>
      </c>
      <c r="H15" s="23">
        <f t="shared" si="6"/>
        <v>57.37704918</v>
      </c>
      <c r="I15" s="23">
        <f t="shared" si="4"/>
        <v>21.79</v>
      </c>
      <c r="K15" s="18">
        <v>46001.0</v>
      </c>
      <c r="L15" s="19"/>
      <c r="M15" s="19"/>
      <c r="N15" s="19"/>
      <c r="O15" s="19"/>
      <c r="P15" s="19"/>
      <c r="Q15" s="19"/>
      <c r="R15" s="19"/>
      <c r="S15" s="19"/>
      <c r="U15" s="18">
        <v>45971.0</v>
      </c>
      <c r="V15" s="19"/>
      <c r="W15" s="19"/>
      <c r="X15" s="19"/>
      <c r="Y15" s="19"/>
      <c r="Z15" s="19"/>
      <c r="AA15" s="19"/>
      <c r="AB15" s="19"/>
    </row>
    <row r="16">
      <c r="A16" s="18">
        <v>46002.0</v>
      </c>
      <c r="B16" s="71">
        <f>IFERROR(__xludf.DUMMYFUNCTION("""COMPUTED_VALUE"""),243.71)</f>
        <v>243.71</v>
      </c>
      <c r="C16" s="33">
        <v>91.0</v>
      </c>
      <c r="D16" s="33">
        <v>47.0</v>
      </c>
      <c r="E16" s="33">
        <v>1.0</v>
      </c>
      <c r="F16" s="23">
        <f t="shared" si="5"/>
        <v>2.678131868</v>
      </c>
      <c r="G16" s="23">
        <f t="shared" si="7"/>
        <v>243.71</v>
      </c>
      <c r="H16" s="23">
        <f t="shared" si="6"/>
        <v>51.64835165</v>
      </c>
      <c r="I16" s="23">
        <f t="shared" si="4"/>
        <v>24.371</v>
      </c>
      <c r="K16" s="18">
        <v>46002.0</v>
      </c>
      <c r="L16" s="19"/>
      <c r="M16" s="19"/>
      <c r="N16" s="19"/>
      <c r="O16" s="19"/>
      <c r="P16" s="19"/>
      <c r="Q16" s="19"/>
      <c r="R16" s="19"/>
      <c r="S16" s="19"/>
      <c r="U16" s="18">
        <v>45972.0</v>
      </c>
      <c r="V16" s="19"/>
      <c r="W16" s="19"/>
      <c r="X16" s="19"/>
      <c r="Y16" s="19"/>
      <c r="Z16" s="19"/>
      <c r="AA16" s="19"/>
      <c r="AB16" s="19"/>
    </row>
    <row r="17">
      <c r="A17" s="18">
        <v>46003.0</v>
      </c>
      <c r="B17" s="71">
        <f>IFERROR(__xludf.DUMMYFUNCTION("""COMPUTED_VALUE"""),299.74)</f>
        <v>299.74</v>
      </c>
      <c r="C17" s="33">
        <v>104.0</v>
      </c>
      <c r="D17" s="33">
        <v>61.0</v>
      </c>
      <c r="E17" s="33">
        <v>3.0</v>
      </c>
      <c r="F17" s="23">
        <f t="shared" si="5"/>
        <v>2.882115385</v>
      </c>
      <c r="G17" s="23">
        <f t="shared" si="7"/>
        <v>99.91333333</v>
      </c>
      <c r="H17" s="23">
        <f t="shared" si="6"/>
        <v>58.65384615</v>
      </c>
      <c r="I17" s="23">
        <f t="shared" si="4"/>
        <v>29.974</v>
      </c>
      <c r="K17" s="18">
        <v>46003.0</v>
      </c>
      <c r="L17" s="19"/>
      <c r="M17" s="19"/>
      <c r="N17" s="19"/>
      <c r="O17" s="19"/>
      <c r="P17" s="19"/>
      <c r="Q17" s="19"/>
      <c r="R17" s="19"/>
      <c r="S17" s="19"/>
      <c r="U17" s="18">
        <v>45973.0</v>
      </c>
      <c r="V17" s="19"/>
      <c r="W17" s="19"/>
      <c r="X17" s="19"/>
      <c r="Y17" s="19"/>
      <c r="Z17" s="19"/>
      <c r="AA17" s="19"/>
      <c r="AB17" s="19"/>
    </row>
    <row r="18">
      <c r="A18" s="18">
        <v>46004.0</v>
      </c>
      <c r="B18" s="71">
        <f>IFERROR(__xludf.DUMMYFUNCTION("""COMPUTED_VALUE"""),292.76)</f>
        <v>292.76</v>
      </c>
      <c r="C18" s="33">
        <v>61.0</v>
      </c>
      <c r="D18" s="33">
        <v>41.0</v>
      </c>
      <c r="E18" s="33">
        <v>4.0</v>
      </c>
      <c r="F18" s="23">
        <f t="shared" si="5"/>
        <v>4.799344262</v>
      </c>
      <c r="G18" s="23">
        <f t="shared" si="7"/>
        <v>73.19</v>
      </c>
      <c r="H18" s="23">
        <f t="shared" si="6"/>
        <v>67.21311475</v>
      </c>
      <c r="I18" s="23">
        <f t="shared" si="4"/>
        <v>29.276</v>
      </c>
      <c r="K18" s="18">
        <v>46004.0</v>
      </c>
      <c r="L18" s="19"/>
      <c r="M18" s="19"/>
      <c r="N18" s="19"/>
      <c r="O18" s="19"/>
      <c r="P18" s="19"/>
      <c r="Q18" s="19"/>
      <c r="R18" s="19"/>
      <c r="S18" s="19"/>
      <c r="U18" s="18">
        <v>45974.0</v>
      </c>
      <c r="V18" s="19"/>
      <c r="W18" s="19"/>
      <c r="X18" s="19"/>
      <c r="Y18" s="19"/>
      <c r="Z18" s="19"/>
      <c r="AA18" s="19"/>
      <c r="AB18" s="19"/>
    </row>
    <row r="19">
      <c r="A19" s="18">
        <v>46005.0</v>
      </c>
      <c r="B19" s="71">
        <f>IFERROR(__xludf.DUMMYFUNCTION("""COMPUTED_VALUE"""),349.75)</f>
        <v>349.75</v>
      </c>
      <c r="C19" s="94">
        <v>123.0</v>
      </c>
      <c r="D19" s="94">
        <v>68.0</v>
      </c>
      <c r="E19" s="95">
        <v>1.0</v>
      </c>
      <c r="F19" s="23">
        <f t="shared" si="5"/>
        <v>2.843495935</v>
      </c>
      <c r="G19" s="23">
        <f t="shared" si="7"/>
        <v>349.75</v>
      </c>
      <c r="H19" s="23">
        <f t="shared" si="6"/>
        <v>55.28455285</v>
      </c>
      <c r="I19" s="23">
        <f t="shared" si="4"/>
        <v>34.975</v>
      </c>
      <c r="K19" s="18">
        <v>46005.0</v>
      </c>
      <c r="L19" s="19"/>
      <c r="M19" s="19"/>
      <c r="N19" s="19"/>
      <c r="O19" s="19"/>
      <c r="P19" s="19"/>
      <c r="Q19" s="19"/>
      <c r="R19" s="19"/>
      <c r="S19" s="19"/>
      <c r="U19" s="18">
        <v>45975.0</v>
      </c>
      <c r="V19" s="19"/>
      <c r="W19" s="19"/>
      <c r="X19" s="19"/>
      <c r="Y19" s="19"/>
      <c r="Z19" s="19"/>
      <c r="AA19" s="19"/>
      <c r="AB19" s="19"/>
    </row>
    <row r="20">
      <c r="A20" s="18">
        <v>46006.0</v>
      </c>
      <c r="B20" s="71">
        <f>IFERROR(__xludf.DUMMYFUNCTION("""COMPUTED_VALUE"""),433.26)</f>
        <v>433.26</v>
      </c>
      <c r="C20" s="95">
        <v>121.0</v>
      </c>
      <c r="D20" s="95">
        <v>54.0</v>
      </c>
      <c r="E20" s="95">
        <v>4.0</v>
      </c>
      <c r="F20" s="23">
        <f t="shared" si="5"/>
        <v>3.580661157</v>
      </c>
      <c r="G20" s="23">
        <f t="shared" si="7"/>
        <v>108.315</v>
      </c>
      <c r="H20" s="23">
        <f t="shared" si="6"/>
        <v>44.62809917</v>
      </c>
      <c r="I20" s="23">
        <f t="shared" si="4"/>
        <v>43.326</v>
      </c>
      <c r="K20" s="18">
        <v>46006.0</v>
      </c>
      <c r="L20" s="19"/>
      <c r="M20" s="19"/>
      <c r="N20" s="19"/>
      <c r="O20" s="19"/>
      <c r="P20" s="19"/>
      <c r="Q20" s="19"/>
      <c r="R20" s="19"/>
      <c r="S20" s="19"/>
      <c r="U20" s="18">
        <v>45976.0</v>
      </c>
      <c r="V20" s="19"/>
      <c r="W20" s="19"/>
      <c r="X20" s="19"/>
      <c r="Y20" s="19"/>
      <c r="Z20" s="19"/>
      <c r="AA20" s="19"/>
      <c r="AB20" s="19"/>
    </row>
    <row r="21">
      <c r="A21" s="18">
        <v>46007.0</v>
      </c>
      <c r="B21" s="71">
        <f>IFERROR(__xludf.DUMMYFUNCTION("""COMPUTED_VALUE"""),324.19)</f>
        <v>324.19</v>
      </c>
      <c r="C21" s="95">
        <v>90.0</v>
      </c>
      <c r="D21" s="95">
        <v>50.0</v>
      </c>
      <c r="E21" s="95">
        <v>3.0</v>
      </c>
      <c r="F21" s="23">
        <f t="shared" si="5"/>
        <v>3.602111111</v>
      </c>
      <c r="G21" s="23">
        <f t="shared" si="7"/>
        <v>108.0633333</v>
      </c>
      <c r="H21" s="23">
        <f t="shared" si="6"/>
        <v>55.55555556</v>
      </c>
      <c r="I21" s="23">
        <f t="shared" si="4"/>
        <v>32.419</v>
      </c>
      <c r="K21" s="18">
        <v>46007.0</v>
      </c>
      <c r="L21" s="19"/>
      <c r="M21" s="19"/>
      <c r="N21" s="19"/>
      <c r="O21" s="19"/>
      <c r="P21" s="19"/>
      <c r="Q21" s="19"/>
      <c r="R21" s="19"/>
      <c r="S21" s="19"/>
      <c r="U21" s="18">
        <v>45977.0</v>
      </c>
      <c r="V21" s="19"/>
      <c r="W21" s="19"/>
      <c r="X21" s="19"/>
      <c r="Y21" s="19"/>
      <c r="Z21" s="19"/>
      <c r="AA21" s="19"/>
      <c r="AB21" s="19"/>
    </row>
    <row r="22">
      <c r="A22" s="18">
        <v>46008.0</v>
      </c>
      <c r="B22" s="71">
        <f>IFERROR(__xludf.DUMMYFUNCTION("""COMPUTED_VALUE"""),341.67)</f>
        <v>341.67</v>
      </c>
      <c r="C22" s="95">
        <v>95.0</v>
      </c>
      <c r="D22" s="95">
        <v>47.0</v>
      </c>
      <c r="E22" s="95">
        <v>2.0</v>
      </c>
      <c r="F22" s="23">
        <f t="shared" si="5"/>
        <v>3.596526316</v>
      </c>
      <c r="G22" s="23">
        <f t="shared" si="7"/>
        <v>170.835</v>
      </c>
      <c r="H22" s="23">
        <f t="shared" si="6"/>
        <v>49.47368421</v>
      </c>
      <c r="I22" s="23">
        <f t="shared" si="4"/>
        <v>34.167</v>
      </c>
      <c r="K22" s="18">
        <v>46008.0</v>
      </c>
      <c r="L22" s="19"/>
      <c r="M22" s="19"/>
      <c r="N22" s="19"/>
      <c r="O22" s="19"/>
      <c r="P22" s="19"/>
      <c r="Q22" s="19"/>
      <c r="R22" s="19"/>
      <c r="S22" s="19"/>
      <c r="U22" s="18">
        <v>45978.0</v>
      </c>
      <c r="V22" s="19"/>
      <c r="W22" s="19"/>
      <c r="X22" s="19"/>
      <c r="Y22" s="19"/>
      <c r="Z22" s="19"/>
      <c r="AA22" s="19"/>
      <c r="AB22" s="19"/>
    </row>
    <row r="23">
      <c r="A23" s="18">
        <v>46009.0</v>
      </c>
      <c r="B23" s="71">
        <f>IFERROR(__xludf.DUMMYFUNCTION("""COMPUTED_VALUE"""),344.59)</f>
        <v>344.59</v>
      </c>
      <c r="C23" s="33">
        <v>76.0</v>
      </c>
      <c r="D23" s="33">
        <v>47.0</v>
      </c>
      <c r="E23" s="33">
        <v>1.0</v>
      </c>
      <c r="F23" s="23">
        <f t="shared" si="5"/>
        <v>4.534078947</v>
      </c>
      <c r="G23" s="23">
        <f t="shared" si="7"/>
        <v>344.59</v>
      </c>
      <c r="H23" s="23">
        <f t="shared" si="6"/>
        <v>61.84210526</v>
      </c>
      <c r="I23" s="23">
        <f t="shared" si="4"/>
        <v>34.459</v>
      </c>
      <c r="K23" s="18">
        <v>46009.0</v>
      </c>
      <c r="L23" s="19"/>
      <c r="M23" s="19"/>
      <c r="N23" s="19"/>
      <c r="O23" s="19"/>
      <c r="P23" s="19"/>
      <c r="Q23" s="19"/>
      <c r="R23" s="19"/>
      <c r="S23" s="19"/>
      <c r="U23" s="18">
        <v>45979.0</v>
      </c>
      <c r="V23" s="19"/>
      <c r="W23" s="19"/>
      <c r="X23" s="19"/>
      <c r="Y23" s="19"/>
      <c r="Z23" s="19"/>
      <c r="AA23" s="19"/>
      <c r="AB23" s="19"/>
    </row>
    <row r="24">
      <c r="A24" s="18">
        <v>46010.0</v>
      </c>
      <c r="B24" s="71">
        <f>IFERROR(__xludf.DUMMYFUNCTION("""COMPUTED_VALUE"""),375.58)</f>
        <v>375.58</v>
      </c>
      <c r="C24" s="33">
        <v>75.0</v>
      </c>
      <c r="D24" s="33">
        <v>45.0</v>
      </c>
      <c r="E24" s="33">
        <v>1.0</v>
      </c>
      <c r="F24" s="23">
        <f t="shared" si="5"/>
        <v>5.007733333</v>
      </c>
      <c r="G24" s="23">
        <f t="shared" si="7"/>
        <v>375.58</v>
      </c>
      <c r="H24" s="23">
        <f t="shared" si="6"/>
        <v>60</v>
      </c>
      <c r="I24" s="23">
        <f t="shared" si="4"/>
        <v>37.558</v>
      </c>
      <c r="K24" s="18">
        <v>46010.0</v>
      </c>
      <c r="L24" s="19"/>
      <c r="M24" s="19"/>
      <c r="N24" s="19"/>
      <c r="O24" s="19"/>
      <c r="P24" s="19"/>
      <c r="Q24" s="19"/>
      <c r="R24" s="19"/>
      <c r="S24" s="19"/>
      <c r="U24" s="18">
        <v>45980.0</v>
      </c>
      <c r="V24" s="19"/>
      <c r="W24" s="19"/>
      <c r="X24" s="19"/>
      <c r="Y24" s="19"/>
      <c r="Z24" s="19"/>
      <c r="AA24" s="19"/>
      <c r="AB24" s="19"/>
    </row>
    <row r="25">
      <c r="A25" s="18">
        <v>46011.0</v>
      </c>
      <c r="B25" s="71">
        <f>IFERROR(__xludf.DUMMYFUNCTION("""COMPUTED_VALUE"""),238.29)</f>
        <v>238.29</v>
      </c>
      <c r="C25" s="33">
        <f>65+40</f>
        <v>105</v>
      </c>
      <c r="D25" s="33">
        <f>36+17</f>
        <v>53</v>
      </c>
      <c r="E25" s="33">
        <v>1.0</v>
      </c>
      <c r="F25" s="23">
        <f t="shared" si="5"/>
        <v>2.269428571</v>
      </c>
      <c r="G25" s="23">
        <f t="shared" si="7"/>
        <v>238.29</v>
      </c>
      <c r="H25" s="23">
        <f t="shared" si="6"/>
        <v>50.47619048</v>
      </c>
      <c r="I25" s="23">
        <f t="shared" si="4"/>
        <v>23.829</v>
      </c>
      <c r="K25" s="18">
        <v>46011.0</v>
      </c>
      <c r="L25" s="19"/>
      <c r="M25" s="19"/>
      <c r="N25" s="19"/>
      <c r="O25" s="19"/>
      <c r="P25" s="19"/>
      <c r="Q25" s="19"/>
      <c r="R25" s="19"/>
      <c r="S25" s="19"/>
      <c r="U25" s="18">
        <v>45981.0</v>
      </c>
      <c r="V25" s="19"/>
      <c r="W25" s="19"/>
      <c r="X25" s="19"/>
      <c r="Y25" s="19"/>
      <c r="Z25" s="19"/>
      <c r="AA25" s="19"/>
      <c r="AB25" s="19"/>
    </row>
    <row r="26">
      <c r="A26" s="18">
        <v>46012.0</v>
      </c>
      <c r="B26" s="71">
        <f>IFERROR(__xludf.DUMMYFUNCTION("""COMPUTED_VALUE"""),366.72)</f>
        <v>366.72</v>
      </c>
      <c r="C26" s="96">
        <v>98.0</v>
      </c>
      <c r="D26" s="96">
        <v>54.0</v>
      </c>
      <c r="E26" s="96">
        <v>2.0</v>
      </c>
      <c r="F26" s="23">
        <f t="shared" si="5"/>
        <v>3.742040816</v>
      </c>
      <c r="G26" s="23">
        <f t="shared" si="7"/>
        <v>183.36</v>
      </c>
      <c r="H26" s="23">
        <f t="shared" si="6"/>
        <v>55.10204082</v>
      </c>
      <c r="I26" s="23">
        <f t="shared" si="4"/>
        <v>36.672</v>
      </c>
      <c r="K26" s="18">
        <v>46012.0</v>
      </c>
      <c r="L26" s="19"/>
      <c r="M26" s="19"/>
      <c r="N26" s="19"/>
      <c r="O26" s="19"/>
      <c r="P26" s="19"/>
      <c r="Q26" s="19"/>
      <c r="R26" s="19"/>
      <c r="S26" s="19"/>
      <c r="U26" s="18">
        <v>45982.0</v>
      </c>
      <c r="V26" s="19"/>
      <c r="W26" s="19"/>
      <c r="X26" s="19"/>
      <c r="Y26" s="19"/>
      <c r="Z26" s="19"/>
      <c r="AA26" s="19"/>
      <c r="AB26" s="19"/>
    </row>
    <row r="27">
      <c r="A27" s="18">
        <v>46013.0</v>
      </c>
      <c r="B27" s="71">
        <f>IFERROR(__xludf.DUMMYFUNCTION("""COMPUTED_VALUE"""),344.45)</f>
        <v>344.45</v>
      </c>
      <c r="C27" s="96">
        <v>106.0</v>
      </c>
      <c r="D27" s="96">
        <v>48.0</v>
      </c>
      <c r="E27" s="96">
        <v>4.0</v>
      </c>
      <c r="F27" s="23">
        <f t="shared" si="5"/>
        <v>3.249528302</v>
      </c>
      <c r="G27" s="23">
        <f t="shared" si="7"/>
        <v>86.1125</v>
      </c>
      <c r="H27" s="23">
        <f t="shared" si="6"/>
        <v>45.28301887</v>
      </c>
      <c r="I27" s="23">
        <f t="shared" si="4"/>
        <v>34.445</v>
      </c>
      <c r="K27" s="18">
        <v>46013.0</v>
      </c>
      <c r="L27" s="19"/>
      <c r="M27" s="19"/>
      <c r="N27" s="19"/>
      <c r="O27" s="19"/>
      <c r="P27" s="19"/>
      <c r="Q27" s="19"/>
      <c r="R27" s="19"/>
      <c r="S27" s="19"/>
      <c r="U27" s="18">
        <v>45983.0</v>
      </c>
      <c r="V27" s="19"/>
      <c r="W27" s="19"/>
      <c r="X27" s="19"/>
      <c r="Y27" s="19"/>
      <c r="Z27" s="19"/>
      <c r="AA27" s="19"/>
      <c r="AB27" s="19"/>
    </row>
    <row r="28">
      <c r="A28" s="18">
        <v>46014.0</v>
      </c>
      <c r="B28" s="71">
        <f>IFERROR(__xludf.DUMMYFUNCTION("""COMPUTED_VALUE"""),307.04)</f>
        <v>307.04</v>
      </c>
      <c r="C28" s="33">
        <v>73.0</v>
      </c>
      <c r="D28" s="33">
        <v>33.0</v>
      </c>
      <c r="E28" s="33">
        <v>3.0</v>
      </c>
      <c r="F28" s="23">
        <f t="shared" si="5"/>
        <v>4.206027397</v>
      </c>
      <c r="G28" s="23">
        <f t="shared" si="7"/>
        <v>102.3466667</v>
      </c>
      <c r="H28" s="23">
        <f t="shared" si="6"/>
        <v>45.20547945</v>
      </c>
      <c r="I28" s="23">
        <f t="shared" si="4"/>
        <v>30.704</v>
      </c>
      <c r="K28" s="18">
        <v>46014.0</v>
      </c>
      <c r="L28" s="19"/>
      <c r="M28" s="19"/>
      <c r="N28" s="19"/>
      <c r="O28" s="19"/>
      <c r="P28" s="19"/>
      <c r="Q28" s="19"/>
      <c r="R28" s="19"/>
      <c r="S28" s="19"/>
      <c r="U28" s="18">
        <v>45984.0</v>
      </c>
      <c r="V28" s="19"/>
      <c r="W28" s="19"/>
      <c r="X28" s="19"/>
      <c r="Y28" s="19"/>
      <c r="Z28" s="19"/>
      <c r="AA28" s="19"/>
      <c r="AB28" s="19"/>
    </row>
    <row r="29">
      <c r="A29" s="18">
        <v>46015.0</v>
      </c>
      <c r="B29" s="59">
        <f>IFERROR(__xludf.DUMMYFUNCTION("""COMPUTED_VALUE"""),242.77)</f>
        <v>242.77</v>
      </c>
      <c r="C29" s="33">
        <v>54.0</v>
      </c>
      <c r="D29" s="33">
        <v>26.0</v>
      </c>
      <c r="E29" s="33">
        <v>3.0</v>
      </c>
      <c r="F29" s="23">
        <f t="shared" si="5"/>
        <v>4.495740741</v>
      </c>
      <c r="G29" s="23">
        <f t="shared" si="7"/>
        <v>80.92333333</v>
      </c>
      <c r="H29" s="23">
        <f t="shared" si="6"/>
        <v>48.14814815</v>
      </c>
      <c r="I29" s="23">
        <f t="shared" si="4"/>
        <v>24.277</v>
      </c>
      <c r="K29" s="18">
        <v>46015.0</v>
      </c>
      <c r="L29" s="33"/>
      <c r="M29" s="19"/>
      <c r="N29" s="19"/>
      <c r="O29" s="19"/>
      <c r="P29" s="19"/>
      <c r="Q29" s="19"/>
      <c r="R29" s="19"/>
      <c r="S29" s="19"/>
      <c r="U29" s="18">
        <v>45985.0</v>
      </c>
      <c r="V29" s="19"/>
      <c r="W29" s="19"/>
      <c r="X29" s="19"/>
      <c r="Y29" s="19"/>
      <c r="Z29" s="19"/>
      <c r="AA29" s="19"/>
      <c r="AB29" s="19"/>
    </row>
    <row r="30">
      <c r="A30" s="18">
        <v>46016.0</v>
      </c>
      <c r="B30" s="71">
        <f>IFERROR(__xludf.DUMMYFUNCTION("""COMPUTED_VALUE"""),318.26)</f>
        <v>318.26</v>
      </c>
      <c r="C30" s="33">
        <v>76.0</v>
      </c>
      <c r="D30" s="33">
        <v>36.0</v>
      </c>
      <c r="E30" s="33">
        <v>1.0</v>
      </c>
      <c r="F30" s="23">
        <f t="shared" si="5"/>
        <v>4.187631579</v>
      </c>
      <c r="G30" s="23">
        <f t="shared" si="7"/>
        <v>318.26</v>
      </c>
      <c r="H30" s="23">
        <f t="shared" si="6"/>
        <v>47.36842105</v>
      </c>
      <c r="I30" s="23">
        <f t="shared" si="4"/>
        <v>31.826</v>
      </c>
      <c r="K30" s="18">
        <v>46016.0</v>
      </c>
      <c r="L30" s="33"/>
      <c r="M30" s="33"/>
      <c r="N30" s="33"/>
      <c r="O30" s="19"/>
      <c r="P30" s="19"/>
      <c r="Q30" s="19"/>
      <c r="R30" s="19"/>
      <c r="S30" s="19"/>
      <c r="U30" s="18">
        <v>45986.0</v>
      </c>
      <c r="V30" s="19"/>
      <c r="W30" s="19"/>
      <c r="X30" s="19"/>
      <c r="Y30" s="19"/>
      <c r="Z30" s="19"/>
      <c r="AA30" s="19"/>
      <c r="AB30" s="19"/>
    </row>
    <row r="31">
      <c r="A31" s="18">
        <v>46017.0</v>
      </c>
      <c r="B31" s="59">
        <f>IFERROR(__xludf.DUMMYFUNCTION("""COMPUTED_VALUE"""),26.14)</f>
        <v>26.14</v>
      </c>
      <c r="C31" s="33">
        <v>4.0</v>
      </c>
      <c r="D31" s="33">
        <v>4.0</v>
      </c>
      <c r="E31" s="33">
        <v>1.0</v>
      </c>
      <c r="F31" s="23">
        <f t="shared" si="5"/>
        <v>6.535</v>
      </c>
      <c r="G31" s="23">
        <f t="shared" si="7"/>
        <v>26.14</v>
      </c>
      <c r="H31" s="23">
        <f t="shared" si="6"/>
        <v>100</v>
      </c>
      <c r="I31" s="23">
        <f t="shared" si="4"/>
        <v>2.614</v>
      </c>
      <c r="K31" s="18">
        <v>46017.0</v>
      </c>
      <c r="L31" s="33"/>
      <c r="M31" s="33"/>
      <c r="N31" s="33"/>
      <c r="O31" s="33"/>
      <c r="P31" s="19"/>
      <c r="Q31" s="19"/>
      <c r="R31" s="19"/>
      <c r="S31" s="19"/>
      <c r="U31" s="18">
        <v>45987.0</v>
      </c>
      <c r="V31" s="19"/>
      <c r="W31" s="19"/>
      <c r="X31" s="19"/>
      <c r="Y31" s="19"/>
      <c r="Z31" s="19"/>
      <c r="AA31" s="19"/>
      <c r="AB31" s="19"/>
    </row>
    <row r="32">
      <c r="A32" s="18">
        <v>46018.0</v>
      </c>
      <c r="B32" s="59" t="str">
        <f>IFERROR(__xludf.DUMMYFUNCTION("""COMPUTED_VALUE"""),"")</f>
        <v/>
      </c>
      <c r="C32" s="33">
        <v>0.0</v>
      </c>
      <c r="D32" s="33">
        <v>1.0</v>
      </c>
      <c r="E32" s="33">
        <v>0.0</v>
      </c>
      <c r="F32" s="83">
        <v>0.0</v>
      </c>
      <c r="G32" s="83">
        <v>0.0</v>
      </c>
      <c r="H32" s="83">
        <v>0.0</v>
      </c>
      <c r="I32" s="19">
        <f t="shared" si="4"/>
        <v>0</v>
      </c>
      <c r="K32" s="18">
        <v>46018.0</v>
      </c>
      <c r="L32" s="19"/>
      <c r="M32" s="19"/>
      <c r="N32" s="19"/>
      <c r="O32" s="19"/>
      <c r="P32" s="19"/>
      <c r="Q32" s="19"/>
      <c r="R32" s="19"/>
      <c r="S32" s="19"/>
      <c r="U32" s="18">
        <v>45988.0</v>
      </c>
      <c r="V32" s="19"/>
      <c r="W32" s="19"/>
      <c r="X32" s="19"/>
      <c r="Y32" s="19"/>
      <c r="Z32" s="19"/>
      <c r="AA32" s="19"/>
      <c r="AB32" s="19"/>
    </row>
    <row r="33">
      <c r="A33" s="18">
        <v>46019.0</v>
      </c>
      <c r="B33" s="59">
        <f>IFERROR(__xludf.DUMMYFUNCTION("""COMPUTED_VALUE"""),169.44)</f>
        <v>169.44</v>
      </c>
      <c r="C33" s="33">
        <v>62.0</v>
      </c>
      <c r="D33" s="33">
        <v>33.0</v>
      </c>
      <c r="E33" s="33">
        <v>0.0</v>
      </c>
      <c r="F33" s="23">
        <f>B33/C33</f>
        <v>2.732903226</v>
      </c>
      <c r="G33" s="83">
        <v>0.0</v>
      </c>
      <c r="H33" s="23">
        <f>D33/C33*100</f>
        <v>53.22580645</v>
      </c>
      <c r="I33" s="19">
        <f t="shared" si="4"/>
        <v>16.944</v>
      </c>
      <c r="K33" s="18">
        <v>46019.0</v>
      </c>
      <c r="L33" s="19"/>
      <c r="M33" s="19"/>
      <c r="N33" s="19"/>
      <c r="O33" s="19"/>
      <c r="P33" s="19"/>
      <c r="Q33" s="19"/>
      <c r="R33" s="19"/>
      <c r="S33" s="19"/>
      <c r="U33" s="18">
        <v>45989.0</v>
      </c>
      <c r="V33" s="19"/>
      <c r="W33" s="19"/>
      <c r="X33" s="19"/>
      <c r="Y33" s="19"/>
      <c r="Z33" s="19"/>
      <c r="AA33" s="19"/>
      <c r="AB33" s="19"/>
    </row>
    <row r="34">
      <c r="A34" s="18">
        <v>46020.0</v>
      </c>
      <c r="B34" s="59" t="str">
        <f>IFERROR(__xludf.DUMMYFUNCTION("""COMPUTED_VALUE"""),"")</f>
        <v/>
      </c>
      <c r="C34" s="33">
        <v>0.0</v>
      </c>
      <c r="D34" s="33">
        <v>3.0</v>
      </c>
      <c r="E34" s="33">
        <v>1.0</v>
      </c>
      <c r="F34" s="83">
        <v>0.0</v>
      </c>
      <c r="G34" s="23">
        <f t="shared" ref="G34:G35" si="8">B34/E34</f>
        <v>0</v>
      </c>
      <c r="H34" s="83">
        <v>0.0</v>
      </c>
      <c r="I34" s="19">
        <f t="shared" si="4"/>
        <v>0</v>
      </c>
      <c r="K34" s="18">
        <v>46020.0</v>
      </c>
      <c r="L34" s="19"/>
      <c r="M34" s="19"/>
      <c r="N34" s="19"/>
      <c r="O34" s="19"/>
      <c r="P34" s="19"/>
      <c r="Q34" s="19"/>
      <c r="R34" s="19"/>
      <c r="S34" s="19"/>
      <c r="U34" s="18">
        <v>45990.0</v>
      </c>
      <c r="V34" s="19"/>
      <c r="W34" s="19"/>
      <c r="X34" s="19"/>
      <c r="Y34" s="19"/>
      <c r="Z34" s="19"/>
      <c r="AA34" s="19"/>
      <c r="AB34" s="19"/>
    </row>
    <row r="35">
      <c r="A35" s="18">
        <v>46021.0</v>
      </c>
      <c r="B35" s="59" t="str">
        <f>IFERROR(__xludf.DUMMYFUNCTION("""COMPUTED_VALUE"""),"")</f>
        <v/>
      </c>
      <c r="C35" s="33">
        <v>0.0</v>
      </c>
      <c r="D35" s="33">
        <v>2.0</v>
      </c>
      <c r="E35" s="33">
        <v>1.0</v>
      </c>
      <c r="F35" s="83">
        <v>0.0</v>
      </c>
      <c r="G35" s="23">
        <f t="shared" si="8"/>
        <v>0</v>
      </c>
      <c r="H35" s="83">
        <v>0.0</v>
      </c>
      <c r="I35" s="19">
        <f t="shared" si="4"/>
        <v>0</v>
      </c>
      <c r="K35" s="18">
        <v>46021.0</v>
      </c>
      <c r="L35" s="19"/>
      <c r="M35" s="19"/>
      <c r="N35" s="19"/>
      <c r="O35" s="19"/>
      <c r="P35" s="19"/>
      <c r="Q35" s="19"/>
      <c r="R35" s="19"/>
      <c r="S35" s="19"/>
      <c r="U35" s="18">
        <v>45991.0</v>
      </c>
      <c r="V35" s="19"/>
      <c r="W35" s="19"/>
      <c r="X35" s="19"/>
      <c r="Y35" s="19"/>
      <c r="Z35" s="19"/>
      <c r="AA35" s="19"/>
      <c r="AB35" s="19"/>
    </row>
    <row r="36">
      <c r="A36" s="18">
        <v>46022.0</v>
      </c>
      <c r="B36" s="71" t="str">
        <f>IFERROR(__xludf.DUMMYFUNCTION("""COMPUTED_VALUE"""),"")</f>
        <v/>
      </c>
      <c r="C36" s="33">
        <v>0.0</v>
      </c>
      <c r="D36" s="33">
        <v>2.0</v>
      </c>
      <c r="E36" s="33">
        <v>0.0</v>
      </c>
      <c r="F36" s="83">
        <v>0.0</v>
      </c>
      <c r="G36" s="83">
        <v>0.0</v>
      </c>
      <c r="H36" s="83">
        <v>0.0</v>
      </c>
      <c r="I36" s="19">
        <f t="shared" si="4"/>
        <v>0</v>
      </c>
      <c r="K36" s="18">
        <v>46022.0</v>
      </c>
      <c r="L36" s="19"/>
      <c r="M36" s="19"/>
      <c r="N36" s="19"/>
      <c r="O36" s="19"/>
      <c r="P36" s="19"/>
      <c r="Q36" s="19"/>
      <c r="R36" s="19"/>
      <c r="S36" s="19"/>
    </row>
    <row r="37">
      <c r="K37" s="19"/>
      <c r="L37" s="19"/>
      <c r="M37" s="19"/>
      <c r="N37" s="19"/>
      <c r="O37" s="19"/>
      <c r="P37" s="19"/>
      <c r="Q37" s="19"/>
      <c r="R37" s="19"/>
      <c r="S37" s="19"/>
    </row>
    <row r="38">
      <c r="A38" s="35" t="s">
        <v>14</v>
      </c>
      <c r="B38" s="97">
        <f t="shared" ref="B38:E38" si="9">SUM(B6:B36)</f>
        <v>7405.15</v>
      </c>
      <c r="C38" s="36">
        <f t="shared" si="9"/>
        <v>2214</v>
      </c>
      <c r="D38" s="36">
        <f t="shared" si="9"/>
        <v>1219</v>
      </c>
      <c r="E38" s="36">
        <f t="shared" si="9"/>
        <v>54</v>
      </c>
      <c r="F38" s="38">
        <f>B38/C38</f>
        <v>3.344692864</v>
      </c>
      <c r="G38" s="38">
        <f>B38/E38</f>
        <v>137.1324074</v>
      </c>
      <c r="H38" s="38">
        <f>D38/C38*100</f>
        <v>55.05871725</v>
      </c>
      <c r="I38" s="64">
        <f>B38*0.1</f>
        <v>740.515</v>
      </c>
      <c r="K38" s="35" t="s">
        <v>14</v>
      </c>
      <c r="L38" s="36">
        <f t="shared" ref="L38:O38" si="10">SUM(L6:L36)</f>
        <v>0</v>
      </c>
      <c r="M38" s="36">
        <f t="shared" si="10"/>
        <v>0</v>
      </c>
      <c r="N38" s="36">
        <f t="shared" si="10"/>
        <v>0</v>
      </c>
      <c r="O38" s="36">
        <f t="shared" si="10"/>
        <v>0</v>
      </c>
      <c r="P38" s="36" t="str">
        <f>L38/M38</f>
        <v>#DIV/0!</v>
      </c>
      <c r="Q38" s="36" t="str">
        <f>L38/O38</f>
        <v>#DIV/0!</v>
      </c>
      <c r="R38" s="36" t="str">
        <f>N38/M38*100</f>
        <v>#DIV/0!</v>
      </c>
      <c r="S38" s="19">
        <f>L38*0.1</f>
        <v>0</v>
      </c>
    </row>
  </sheetData>
  <mergeCells count="6">
    <mergeCell ref="A3:I3"/>
    <mergeCell ref="K3:R3"/>
    <mergeCell ref="U3:AB3"/>
    <mergeCell ref="A4:I4"/>
    <mergeCell ref="K4:R4"/>
    <mergeCell ref="U4:AB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</cols>
  <sheetData>
    <row r="1">
      <c r="A1" s="98" t="s">
        <v>22</v>
      </c>
      <c r="B1" s="2"/>
      <c r="C1" s="2"/>
      <c r="D1" s="2"/>
      <c r="E1" s="2"/>
      <c r="F1" s="2"/>
      <c r="G1" s="2"/>
      <c r="H1" s="2"/>
      <c r="I1" s="3"/>
      <c r="K1" s="1" t="s">
        <v>22</v>
      </c>
      <c r="L1" s="2"/>
      <c r="M1" s="2"/>
      <c r="N1" s="2"/>
      <c r="O1" s="2"/>
      <c r="P1" s="2"/>
      <c r="Q1" s="2"/>
      <c r="R1" s="2"/>
      <c r="S1" s="3"/>
    </row>
    <row r="2">
      <c r="A2" s="7" t="s">
        <v>23</v>
      </c>
      <c r="B2" s="2"/>
      <c r="C2" s="2"/>
      <c r="D2" s="2"/>
      <c r="E2" s="2"/>
      <c r="F2" s="2"/>
      <c r="G2" s="2"/>
      <c r="H2" s="2"/>
      <c r="I2" s="3"/>
      <c r="K2" s="7" t="s">
        <v>23</v>
      </c>
      <c r="L2" s="2"/>
      <c r="M2" s="2"/>
      <c r="N2" s="2"/>
      <c r="O2" s="2"/>
      <c r="P2" s="2"/>
      <c r="Q2" s="2"/>
      <c r="R2" s="2"/>
      <c r="S2" s="3"/>
    </row>
    <row r="3">
      <c r="A3" s="9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10</v>
      </c>
      <c r="H3" s="10" t="s">
        <v>9</v>
      </c>
      <c r="I3" s="45" t="s">
        <v>11</v>
      </c>
      <c r="K3" s="9" t="s">
        <v>3</v>
      </c>
      <c r="L3" s="9" t="s">
        <v>4</v>
      </c>
      <c r="M3" s="10" t="s">
        <v>5</v>
      </c>
      <c r="N3" s="10" t="s">
        <v>6</v>
      </c>
      <c r="O3" s="10" t="s">
        <v>7</v>
      </c>
      <c r="P3" s="10" t="s">
        <v>8</v>
      </c>
      <c r="Q3" s="10" t="s">
        <v>10</v>
      </c>
      <c r="R3" s="10" t="s">
        <v>9</v>
      </c>
      <c r="S3" s="45" t="s">
        <v>11</v>
      </c>
    </row>
    <row r="4">
      <c r="A4" s="33" t="s">
        <v>24</v>
      </c>
      <c r="B4" s="19">
        <f>SUM('Перу(декабрь)'!L6 :'Перу(декабрь)'!L12)</f>
        <v>2070.79</v>
      </c>
      <c r="C4" s="19">
        <f>SUM('Перу(декабрь)'!M6 :'Перу(декабрь)'!M12)</f>
        <v>787</v>
      </c>
      <c r="D4" s="19">
        <f>SUM('Перу(декабрь)'!N6 :'Перу(декабрь)'!N12)</f>
        <v>350</v>
      </c>
      <c r="E4" s="19">
        <f>SUM('Перу(декабрь)'!O6 :'Перу(декабрь)'!O12)</f>
        <v>19</v>
      </c>
      <c r="F4" s="23">
        <f t="shared" ref="F4:F7" si="1">(B4/C4)</f>
        <v>2.631245235</v>
      </c>
      <c r="G4" s="23">
        <f t="shared" ref="G4:G7" si="2">(D4/C4*100)</f>
        <v>44.47268107</v>
      </c>
      <c r="H4" s="83">
        <f t="shared" ref="H4:H7" si="3">(B4/E4)</f>
        <v>108.9889474</v>
      </c>
      <c r="I4" s="23">
        <f t="shared" ref="I4:I7" si="4">B4*0.1</f>
        <v>207.079</v>
      </c>
      <c r="K4" s="99" t="s">
        <v>25</v>
      </c>
      <c r="L4" s="19">
        <f>SUM('Перу(январь)'!M6 :'Перу(январь)'!M16)</f>
        <v>3464.32</v>
      </c>
      <c r="M4" s="19">
        <f>SUM('Перу(январь)'!N6 :'Перу(январь)'!N16)</f>
        <v>3488</v>
      </c>
      <c r="N4" s="19">
        <f>SUM('Перу(январь)'!O6 :'Перу(январь)'!O16)</f>
        <v>1835</v>
      </c>
      <c r="O4" s="19">
        <f>SUM('Перу(январь)'!P6 :'Перу(январь)'!P16)</f>
        <v>73</v>
      </c>
      <c r="P4" s="23">
        <f t="shared" ref="P4:P7" si="5">IFERROR(L4/M4,0)</f>
        <v>0.9932110092</v>
      </c>
      <c r="Q4" s="24">
        <f t="shared" ref="Q4:Q7" si="6">IFERROR(N4/M4,0)</f>
        <v>0.5260894495</v>
      </c>
      <c r="R4" s="83">
        <f t="shared" ref="R4:R7" si="7">IFERROR(L4/O4,0)</f>
        <v>47.45643836</v>
      </c>
      <c r="S4" s="23">
        <f t="shared" ref="S4:S7" si="8">L4*0.1</f>
        <v>346.432</v>
      </c>
    </row>
    <row r="5">
      <c r="A5" s="33" t="s">
        <v>26</v>
      </c>
      <c r="B5" s="19">
        <f>SUM('Перу(декабрь)'!L13 :'Перу(декабрь)'!L19)</f>
        <v>2785.76</v>
      </c>
      <c r="C5" s="19">
        <f>SUM('Перу(декабрь)'!M13 :'Перу(декабрь)'!M19)</f>
        <v>890</v>
      </c>
      <c r="D5" s="19">
        <f>SUM('Перу(декабрь)'!N13 :'Перу(декабрь)'!N19)</f>
        <v>378</v>
      </c>
      <c r="E5" s="19">
        <f>SUM('Перу(декабрь)'!O13 :'Перу(декабрь)'!O19)</f>
        <v>11</v>
      </c>
      <c r="F5" s="23">
        <f t="shared" si="1"/>
        <v>3.130067416</v>
      </c>
      <c r="G5" s="23">
        <f t="shared" si="2"/>
        <v>42.47191011</v>
      </c>
      <c r="H5" s="83">
        <f t="shared" si="3"/>
        <v>253.2509091</v>
      </c>
      <c r="I5" s="23">
        <f t="shared" si="4"/>
        <v>278.576</v>
      </c>
      <c r="K5" s="99" t="s">
        <v>27</v>
      </c>
      <c r="L5" s="19">
        <f>SUM('Перу(январь)'!M17 :'Перу(январь)'!M23)</f>
        <v>3004.44</v>
      </c>
      <c r="M5" s="19">
        <f>SUM('Перу(январь)'!N17 :'Перу(январь)'!N23)</f>
        <v>1112</v>
      </c>
      <c r="N5" s="19">
        <f>SUM('Перу(январь)'!O17 :'Перу(январь)'!O23)</f>
        <v>504</v>
      </c>
      <c r="O5" s="19">
        <f>SUM('Перу(январь)'!P17 :'Перу(январь)'!P23)</f>
        <v>15</v>
      </c>
      <c r="P5" s="23">
        <f t="shared" si="5"/>
        <v>2.701834532</v>
      </c>
      <c r="Q5" s="24">
        <f t="shared" si="6"/>
        <v>0.4532374101</v>
      </c>
      <c r="R5" s="83">
        <f t="shared" si="7"/>
        <v>200.296</v>
      </c>
      <c r="S5" s="23">
        <f t="shared" si="8"/>
        <v>300.444</v>
      </c>
    </row>
    <row r="6">
      <c r="A6" s="33" t="s">
        <v>28</v>
      </c>
      <c r="B6" s="19">
        <f>SUM('Перу(декабрь)'!L20 :'Перу(декабрь)'!L26)</f>
        <v>2221.09</v>
      </c>
      <c r="C6" s="19">
        <f>SUM('Перу(декабрь)'!M20 :'Перу(декабрь)'!M26)</f>
        <v>1133</v>
      </c>
      <c r="D6" s="19">
        <f>SUM('Перу(декабрь)'!N20 :'Перу(декабрь)'!N26)</f>
        <v>499</v>
      </c>
      <c r="E6" s="19">
        <f>SUM('Перу(декабрь)'!O20 :'Перу(декабрь)'!O26)</f>
        <v>29</v>
      </c>
      <c r="F6" s="23">
        <f t="shared" si="1"/>
        <v>1.960361871</v>
      </c>
      <c r="G6" s="23">
        <f t="shared" si="2"/>
        <v>44.0423654</v>
      </c>
      <c r="H6" s="83">
        <f t="shared" si="3"/>
        <v>76.58931034</v>
      </c>
      <c r="I6" s="23">
        <f t="shared" si="4"/>
        <v>222.109</v>
      </c>
      <c r="K6" s="99" t="s">
        <v>29</v>
      </c>
      <c r="L6" s="19">
        <f>SUM('Перу(январь)'!M24 :'Перу(январь)'!M30)</f>
        <v>407.63</v>
      </c>
      <c r="M6" s="19">
        <f>SUM('Перу(январь)'!N24 :'Перу(январь)'!N30)</f>
        <v>0</v>
      </c>
      <c r="N6" s="19">
        <f>SUM('Перу(январь)'!O24 :'Перу(январь)'!O30)</f>
        <v>0</v>
      </c>
      <c r="O6" s="19">
        <f>SUM('Перу(январь)'!P24 :'Перу(январь)'!P30)</f>
        <v>0</v>
      </c>
      <c r="P6" s="23">
        <f t="shared" si="5"/>
        <v>0</v>
      </c>
      <c r="Q6" s="24">
        <f t="shared" si="6"/>
        <v>0</v>
      </c>
      <c r="R6" s="83">
        <f t="shared" si="7"/>
        <v>0</v>
      </c>
      <c r="S6" s="23">
        <f t="shared" si="8"/>
        <v>40.763</v>
      </c>
    </row>
    <row r="7">
      <c r="A7" s="33" t="s">
        <v>30</v>
      </c>
      <c r="B7" s="19">
        <f>SUM('Перу(декабрь)'!L27 :'Перу(декабрь)'!L33)</f>
        <v>2140.41</v>
      </c>
      <c r="C7" s="19">
        <f>SUM('Перу(декабрь)'!M27 :'Перу(декабрь)'!M33)</f>
        <v>2077</v>
      </c>
      <c r="D7" s="19">
        <f>SUM('Перу(декабрь)'!N27 :'Перу(декабрь)'!N33)</f>
        <v>950</v>
      </c>
      <c r="E7" s="19">
        <f>SUM('Перу(декабрь)'!O27 :'Перу(декабрь)'!O33)</f>
        <v>36</v>
      </c>
      <c r="F7" s="23">
        <f t="shared" si="1"/>
        <v>1.03052961</v>
      </c>
      <c r="G7" s="23">
        <f t="shared" si="2"/>
        <v>45.7390467</v>
      </c>
      <c r="H7" s="83">
        <f t="shared" si="3"/>
        <v>59.45583333</v>
      </c>
      <c r="I7" s="23">
        <f t="shared" si="4"/>
        <v>214.041</v>
      </c>
      <c r="K7" s="99" t="s">
        <v>31</v>
      </c>
      <c r="L7" s="19">
        <f>SUM('Перу(январь)'!M31 :'Перу(январь)'!M36)</f>
        <v>0</v>
      </c>
      <c r="M7" s="19">
        <f>SUM('Перу(январь)'!N31 :'Перу(январь)'!N36)</f>
        <v>0</v>
      </c>
      <c r="N7" s="19">
        <f>SUM('Перу(январь)'!O31 :'Перу(январь)'!O36)</f>
        <v>0</v>
      </c>
      <c r="O7" s="19">
        <f>SUM('Перу(январь)'!P31 :'Перу(январь)'!P36)</f>
        <v>0</v>
      </c>
      <c r="P7" s="23">
        <f t="shared" si="5"/>
        <v>0</v>
      </c>
      <c r="Q7" s="24">
        <f t="shared" si="6"/>
        <v>0</v>
      </c>
      <c r="R7" s="83">
        <f t="shared" si="7"/>
        <v>0</v>
      </c>
      <c r="S7" s="23">
        <f t="shared" si="8"/>
        <v>0</v>
      </c>
    </row>
    <row r="9">
      <c r="A9" s="1" t="s">
        <v>32</v>
      </c>
      <c r="B9" s="2"/>
      <c r="C9" s="2"/>
      <c r="D9" s="2"/>
      <c r="E9" s="2"/>
      <c r="F9" s="2"/>
      <c r="G9" s="2"/>
      <c r="H9" s="2"/>
      <c r="I9" s="3"/>
      <c r="K9" s="1" t="s">
        <v>32</v>
      </c>
      <c r="L9" s="2"/>
      <c r="M9" s="2"/>
      <c r="N9" s="2"/>
      <c r="O9" s="2"/>
      <c r="P9" s="2"/>
      <c r="Q9" s="2"/>
      <c r="R9" s="2"/>
      <c r="S9" s="3"/>
    </row>
    <row r="10">
      <c r="A10" s="7" t="s">
        <v>23</v>
      </c>
      <c r="B10" s="2"/>
      <c r="C10" s="2"/>
      <c r="D10" s="2"/>
      <c r="E10" s="2"/>
      <c r="F10" s="2"/>
      <c r="G10" s="2"/>
      <c r="H10" s="2"/>
      <c r="I10" s="3"/>
      <c r="K10" s="7" t="s">
        <v>23</v>
      </c>
      <c r="L10" s="2"/>
      <c r="M10" s="2"/>
      <c r="N10" s="2"/>
      <c r="O10" s="2"/>
      <c r="P10" s="2"/>
      <c r="Q10" s="2"/>
      <c r="R10" s="2"/>
      <c r="S10" s="3"/>
    </row>
    <row r="11">
      <c r="A11" s="9" t="s">
        <v>3</v>
      </c>
      <c r="B11" s="9" t="s">
        <v>4</v>
      </c>
      <c r="C11" s="10" t="s">
        <v>5</v>
      </c>
      <c r="D11" s="10" t="s">
        <v>6</v>
      </c>
      <c r="E11" s="10" t="s">
        <v>7</v>
      </c>
      <c r="F11" s="10" t="s">
        <v>8</v>
      </c>
      <c r="G11" s="10" t="s">
        <v>10</v>
      </c>
      <c r="H11" s="10" t="s">
        <v>9</v>
      </c>
      <c r="I11" s="45" t="s">
        <v>11</v>
      </c>
      <c r="K11" s="9" t="s">
        <v>3</v>
      </c>
      <c r="L11" s="9" t="s">
        <v>4</v>
      </c>
      <c r="M11" s="10" t="s">
        <v>5</v>
      </c>
      <c r="N11" s="10" t="s">
        <v>6</v>
      </c>
      <c r="O11" s="10" t="s">
        <v>7</v>
      </c>
      <c r="P11" s="10" t="s">
        <v>8</v>
      </c>
      <c r="Q11" s="10" t="s">
        <v>10</v>
      </c>
      <c r="R11" s="10" t="s">
        <v>9</v>
      </c>
      <c r="S11" s="45" t="s">
        <v>11</v>
      </c>
    </row>
    <row r="12">
      <c r="A12" s="33" t="s">
        <v>24</v>
      </c>
      <c r="B12" s="19">
        <f>SUM('Перу(декабрь)'!B6 :'Перу(декабрь)'!B12)</f>
        <v>1079.16</v>
      </c>
      <c r="C12" s="19">
        <f>SUM('Перу(декабрь)'!C6 :'Перу(декабрь)'!C12)</f>
        <v>354</v>
      </c>
      <c r="D12" s="19">
        <f>SUM('Перу(декабрь)'!D6:'Перу(декабрь)'!D12)</f>
        <v>160</v>
      </c>
      <c r="E12" s="19">
        <f>SUM('Перу(декабрь)'!E6:'Перу(декабрь)'!E12)</f>
        <v>20</v>
      </c>
      <c r="F12" s="23">
        <f t="shared" ref="F12:F15" si="9">(B12/C12)</f>
        <v>3.048474576</v>
      </c>
      <c r="G12" s="23">
        <f t="shared" ref="G12:G15" si="10">(D12/C12*100)</f>
        <v>45.19774011</v>
      </c>
      <c r="H12" s="83">
        <f t="shared" ref="H12:H15" si="11">(B12/E12)</f>
        <v>53.958</v>
      </c>
      <c r="I12" s="23">
        <f t="shared" ref="I12:I15" si="12">B12*0.12</f>
        <v>129.4992</v>
      </c>
      <c r="K12" s="99" t="s">
        <v>25</v>
      </c>
      <c r="L12" s="19">
        <f>SUM('Перу(январь)'!B6 :'Перу(январь)'!B16)</f>
        <v>0</v>
      </c>
      <c r="M12" s="19">
        <f>SUM('Перу(январь)'!C6 :'Перу(январь)'!C16)</f>
        <v>0</v>
      </c>
      <c r="N12" s="19">
        <f>SUM('Перу(январь)'!D6 :'Перу(январь)'!D16)</f>
        <v>9</v>
      </c>
      <c r="O12" s="19">
        <f>SUM('Перу(январь)'!E6 :'Перу(январь)'!E16)</f>
        <v>1</v>
      </c>
      <c r="P12" s="23">
        <f t="shared" ref="P12:P15" si="13">IFERROR(L12/M12,0)</f>
        <v>0</v>
      </c>
      <c r="Q12" s="24">
        <f t="shared" ref="Q12:Q15" si="14">IFERROR(N12/M12,0)</f>
        <v>0</v>
      </c>
      <c r="R12" s="83">
        <f t="shared" ref="R12:R15" si="15">IFERROR(L12/O12,0)</f>
        <v>0</v>
      </c>
      <c r="S12" s="23">
        <f t="shared" ref="S12:S15" si="16">L12*0.12</f>
        <v>0</v>
      </c>
    </row>
    <row r="13">
      <c r="A13" s="33" t="s">
        <v>26</v>
      </c>
      <c r="B13" s="19">
        <f>SUM('Перу(декабрь)'!B13 :'Перу(декабрь)'!B19)</f>
        <v>1204.41</v>
      </c>
      <c r="C13" s="19">
        <f>SUM('Перу(декабрь)'!C13:'Перу(декабрь)'!C19)</f>
        <v>261</v>
      </c>
      <c r="D13" s="19">
        <f>SUM('Перу(декабрь)'!D13:'Перу(декабрь)'!D19)</f>
        <v>119</v>
      </c>
      <c r="E13" s="19">
        <f>SUM('Перу(декабрь)'!E13:'Перу(декабрь)'!E19)</f>
        <v>20</v>
      </c>
      <c r="F13" s="23">
        <f t="shared" si="9"/>
        <v>4.614597701</v>
      </c>
      <c r="G13" s="23">
        <f t="shared" si="10"/>
        <v>45.59386973</v>
      </c>
      <c r="H13" s="83">
        <f t="shared" si="11"/>
        <v>60.2205</v>
      </c>
      <c r="I13" s="23">
        <f t="shared" si="12"/>
        <v>144.5292</v>
      </c>
      <c r="K13" s="99" t="s">
        <v>27</v>
      </c>
      <c r="L13" s="19">
        <f>SUM('Перу(январь)'!B17 :'Перу(январь)'!B23)</f>
        <v>0</v>
      </c>
      <c r="M13" s="19">
        <f>SUM('Перу(январь)'!C17 :'Перу(январь)'!C23)</f>
        <v>0</v>
      </c>
      <c r="N13" s="19">
        <f>SUM('Перу(январь)'!D17 :'Перу(январь)'!D23)</f>
        <v>0</v>
      </c>
      <c r="O13" s="19">
        <f>SUM('Перу(январь)'!E17 :'Перу(январь)'!E23)</f>
        <v>0</v>
      </c>
      <c r="P13" s="23">
        <f t="shared" si="13"/>
        <v>0</v>
      </c>
      <c r="Q13" s="24">
        <f t="shared" si="14"/>
        <v>0</v>
      </c>
      <c r="R13" s="83">
        <f t="shared" si="15"/>
        <v>0</v>
      </c>
      <c r="S13" s="23">
        <f t="shared" si="16"/>
        <v>0</v>
      </c>
    </row>
    <row r="14">
      <c r="A14" s="33" t="s">
        <v>28</v>
      </c>
      <c r="B14" s="19">
        <f>SUM('Перу(декабрь)'!B20 :'Перу(декабрь)'!B26)</f>
        <v>917.1</v>
      </c>
      <c r="C14" s="19">
        <f>SUM('Перу(декабрь)'!C20:'Перу(декабрь)'!C26)</f>
        <v>177</v>
      </c>
      <c r="D14" s="19">
        <f>SUM('Перу(декабрь)'!D20:'Перу(декабрь)'!D26)</f>
        <v>87</v>
      </c>
      <c r="E14" s="19">
        <f>SUM('Перу(декабрь)'!E20:'Перу(декабрь)'!E26)</f>
        <v>8</v>
      </c>
      <c r="F14" s="23">
        <f t="shared" si="9"/>
        <v>5.181355932</v>
      </c>
      <c r="G14" s="23">
        <f t="shared" si="10"/>
        <v>49.15254237</v>
      </c>
      <c r="H14" s="83">
        <f t="shared" si="11"/>
        <v>114.6375</v>
      </c>
      <c r="I14" s="23">
        <f t="shared" si="12"/>
        <v>110.052</v>
      </c>
      <c r="K14" s="99" t="s">
        <v>29</v>
      </c>
      <c r="L14" s="19">
        <f>SUM('Перу(январь)'!B24 :'Перу(январь)'!B30)</f>
        <v>0</v>
      </c>
      <c r="M14" s="19">
        <f>SUM('Перу(январь)'!C24 :'Перу(январь)'!C30)</f>
        <v>0</v>
      </c>
      <c r="N14" s="19">
        <f>SUM('Перу(январь)'!D24 :'Перу(январь)'!D30)</f>
        <v>0</v>
      </c>
      <c r="O14" s="19">
        <f>SUM('Перу(январь)'!E24 :'Перу(январь)'!E30)</f>
        <v>0</v>
      </c>
      <c r="P14" s="23">
        <f t="shared" si="13"/>
        <v>0</v>
      </c>
      <c r="Q14" s="24">
        <f t="shared" si="14"/>
        <v>0</v>
      </c>
      <c r="R14" s="83">
        <f t="shared" si="15"/>
        <v>0</v>
      </c>
      <c r="S14" s="23">
        <f t="shared" si="16"/>
        <v>0</v>
      </c>
    </row>
    <row r="15">
      <c r="A15" s="33" t="s">
        <v>30</v>
      </c>
      <c r="B15" s="19">
        <f>SUM('Перу(декабрь)'!B27:'Перу(декабрь)'!B33)</f>
        <v>936.47</v>
      </c>
      <c r="C15" s="19">
        <f>SUM('Перу(декабрь)'!C27:'Перу(декабрь)'!C33)</f>
        <v>264</v>
      </c>
      <c r="D15" s="19">
        <f>SUM('Перу(декабрь)'!D27:'Перу(декабрь)'!D33)</f>
        <v>112</v>
      </c>
      <c r="E15" s="19">
        <f>SUM('Перу(декабрь)'!E27:'Перу(декабрь)'!E33)</f>
        <v>23</v>
      </c>
      <c r="F15" s="23">
        <f t="shared" si="9"/>
        <v>3.547234848</v>
      </c>
      <c r="G15" s="23">
        <f t="shared" si="10"/>
        <v>42.42424242</v>
      </c>
      <c r="H15" s="83">
        <f t="shared" si="11"/>
        <v>40.71608696</v>
      </c>
      <c r="I15" s="23">
        <f t="shared" si="12"/>
        <v>112.3764</v>
      </c>
      <c r="K15" s="99" t="s">
        <v>31</v>
      </c>
      <c r="L15" s="19">
        <f>SUM('Перу(январь)'!B31 :'Перу(январь)'!B36)</f>
        <v>0</v>
      </c>
      <c r="M15" s="19">
        <f>SUM('Перу(январь)'!C31 :'Перу(январь)'!C36)</f>
        <v>0</v>
      </c>
      <c r="N15" s="19">
        <f>SUM('Перу(январь)'!D31 :'Перу(январь)'!D36)</f>
        <v>0</v>
      </c>
      <c r="O15" s="19">
        <f>SUM('Перу(январь)'!E31 :'Перу(январь)'!E36)</f>
        <v>0</v>
      </c>
      <c r="P15" s="23">
        <f t="shared" si="13"/>
        <v>0</v>
      </c>
      <c r="Q15" s="24">
        <f t="shared" si="14"/>
        <v>0</v>
      </c>
      <c r="R15" s="83">
        <f t="shared" si="15"/>
        <v>0</v>
      </c>
      <c r="S15" s="23">
        <f t="shared" si="16"/>
        <v>0</v>
      </c>
    </row>
    <row r="17">
      <c r="A17" s="1" t="s">
        <v>33</v>
      </c>
      <c r="B17" s="2"/>
      <c r="C17" s="2"/>
      <c r="D17" s="2"/>
      <c r="E17" s="2"/>
      <c r="F17" s="2"/>
      <c r="G17" s="2"/>
      <c r="H17" s="2"/>
      <c r="I17" s="3"/>
      <c r="K17" s="1" t="s">
        <v>33</v>
      </c>
      <c r="L17" s="2"/>
      <c r="M17" s="2"/>
      <c r="N17" s="2"/>
      <c r="O17" s="2"/>
      <c r="P17" s="2"/>
      <c r="Q17" s="2"/>
      <c r="R17" s="2"/>
      <c r="S17" s="3"/>
    </row>
    <row r="18">
      <c r="A18" s="100" t="s">
        <v>34</v>
      </c>
      <c r="B18" s="2"/>
      <c r="C18" s="2"/>
      <c r="D18" s="2"/>
      <c r="E18" s="2"/>
      <c r="F18" s="2"/>
      <c r="G18" s="2"/>
      <c r="H18" s="2"/>
      <c r="I18" s="3"/>
      <c r="K18" s="100" t="s">
        <v>34</v>
      </c>
      <c r="L18" s="2"/>
      <c r="M18" s="2"/>
      <c r="N18" s="2"/>
      <c r="O18" s="2"/>
      <c r="P18" s="2"/>
      <c r="Q18" s="2"/>
      <c r="R18" s="2"/>
      <c r="S18" s="3"/>
    </row>
    <row r="19">
      <c r="A19" s="101" t="s">
        <v>3</v>
      </c>
      <c r="B19" s="101" t="s">
        <v>4</v>
      </c>
      <c r="C19" s="102" t="s">
        <v>5</v>
      </c>
      <c r="D19" s="102" t="s">
        <v>6</v>
      </c>
      <c r="E19" s="102" t="s">
        <v>7</v>
      </c>
      <c r="F19" s="102" t="s">
        <v>8</v>
      </c>
      <c r="G19" s="102" t="s">
        <v>10</v>
      </c>
      <c r="H19" s="102" t="s">
        <v>9</v>
      </c>
      <c r="I19" s="103" t="s">
        <v>11</v>
      </c>
      <c r="K19" s="101" t="s">
        <v>3</v>
      </c>
      <c r="L19" s="101" t="s">
        <v>4</v>
      </c>
      <c r="M19" s="102" t="s">
        <v>5</v>
      </c>
      <c r="N19" s="102" t="s">
        <v>6</v>
      </c>
      <c r="O19" s="102" t="s">
        <v>7</v>
      </c>
      <c r="P19" s="102" t="s">
        <v>8</v>
      </c>
      <c r="Q19" s="102" t="s">
        <v>10</v>
      </c>
      <c r="R19" s="102" t="s">
        <v>9</v>
      </c>
      <c r="S19" s="103" t="s">
        <v>11</v>
      </c>
    </row>
    <row r="20">
      <c r="A20" s="104" t="s">
        <v>24</v>
      </c>
      <c r="B20" s="93">
        <f>SUM('Италия(декабрь)'!B6 :'Италия(декабрь)'!B12)</f>
        <v>1892.73</v>
      </c>
      <c r="C20" s="105">
        <f>SUM('Италия(декабрь)'!C6 :'Италия(декабрь)'!C12)</f>
        <v>575</v>
      </c>
      <c r="D20" s="105">
        <f>SUM('Италия(декабрь)'!D6 :'Италия(декабрь)'!D12)</f>
        <v>331</v>
      </c>
      <c r="E20" s="105">
        <f>SUM('Италия(декабрь)'!E6 :'Италия(декабрь)'!E12)</f>
        <v>7</v>
      </c>
      <c r="F20" s="106">
        <f t="shared" ref="F20:F23" si="17">(B20/C20)</f>
        <v>3.291704348</v>
      </c>
      <c r="G20" s="106">
        <f t="shared" ref="G20:G23" si="18">(D20/C20*100)</f>
        <v>57.56521739</v>
      </c>
      <c r="H20" s="106">
        <f t="shared" ref="H20:H23" si="19">(B20/E20)</f>
        <v>270.39</v>
      </c>
      <c r="I20" s="106">
        <f t="shared" ref="I20:I23" si="20">B20*0.12</f>
        <v>227.1276</v>
      </c>
      <c r="K20" s="104" t="s">
        <v>25</v>
      </c>
      <c r="L20" s="105">
        <f>SUM('Италия(январь)'!L6 :'Италия(январь)'!L16)</f>
        <v>0</v>
      </c>
      <c r="M20" s="105">
        <f>SUM('Италия(январь)'!M6 :'Италия(январь)'!M16)</f>
        <v>0</v>
      </c>
      <c r="N20" s="105">
        <f>SUM('Италия(январь)'!N6 :'Италия(январь)'!N16)</f>
        <v>0</v>
      </c>
      <c r="O20" s="105">
        <f>SUM('Италия(январь)'!O6 :'Италия(январь)'!O16)</f>
        <v>0</v>
      </c>
      <c r="P20" s="23">
        <f t="shared" ref="P20:P23" si="21">IFERROR(L20/M20,0)</f>
        <v>0</v>
      </c>
      <c r="Q20" s="24">
        <f t="shared" ref="Q20:Q23" si="22">IFERROR(N20/M20,0)</f>
        <v>0</v>
      </c>
      <c r="R20" s="83">
        <f t="shared" ref="R20:R23" si="23">IFERROR(L20/O20,0)</f>
        <v>0</v>
      </c>
      <c r="S20" s="23">
        <f t="shared" ref="S20:S23" si="24">L20*0.12</f>
        <v>0</v>
      </c>
    </row>
    <row r="21">
      <c r="A21" s="104" t="s">
        <v>26</v>
      </c>
      <c r="B21" s="105">
        <f>SUM('Италия(декабрь)'!B13 :'Италия(декабрь)'!B19)</f>
        <v>1680.02</v>
      </c>
      <c r="C21" s="105">
        <f>SUM('Италия(декабрь)'!C13 :'Италия(декабрь)'!C19)</f>
        <v>604</v>
      </c>
      <c r="D21" s="105">
        <f>SUM('Италия(декабрь)'!D13 :'Италия(декабрь)'!D19)</f>
        <v>350</v>
      </c>
      <c r="E21" s="105">
        <f>SUM('Италия(декабрь)'!E13 :'Италия(декабрь)'!E19)</f>
        <v>19</v>
      </c>
      <c r="F21" s="106">
        <f t="shared" si="17"/>
        <v>2.781490066</v>
      </c>
      <c r="G21" s="106">
        <f t="shared" si="18"/>
        <v>57.94701987</v>
      </c>
      <c r="H21" s="106">
        <f t="shared" si="19"/>
        <v>88.42210526</v>
      </c>
      <c r="I21" s="106">
        <f t="shared" si="20"/>
        <v>201.6024</v>
      </c>
      <c r="K21" s="104" t="s">
        <v>27</v>
      </c>
      <c r="L21" s="105">
        <f>SUM('Италия(январь)'!L17 :'Италия(январь)'!L23)</f>
        <v>0</v>
      </c>
      <c r="M21" s="105">
        <f>SUM('Италия(январь)'!M17 :'Италия(январь)'!M23)</f>
        <v>0</v>
      </c>
      <c r="N21" s="105">
        <f>SUM('Италия(январь)'!N17 :'Италия(январь)'!N23)</f>
        <v>0</v>
      </c>
      <c r="O21" s="105">
        <f>SUM('Италия(январь)'!O17 :'Италия(январь)'!O23)</f>
        <v>0</v>
      </c>
      <c r="P21" s="23">
        <f t="shared" si="21"/>
        <v>0</v>
      </c>
      <c r="Q21" s="24">
        <f t="shared" si="22"/>
        <v>0</v>
      </c>
      <c r="R21" s="83">
        <f t="shared" si="23"/>
        <v>0</v>
      </c>
      <c r="S21" s="23">
        <f t="shared" si="24"/>
        <v>0</v>
      </c>
    </row>
    <row r="22">
      <c r="A22" s="104" t="s">
        <v>28</v>
      </c>
      <c r="B22" s="28">
        <f>SUM('Италия(декабрь)'!B20 :'Италия(декабрь)'!B26)</f>
        <v>2424.3</v>
      </c>
      <c r="C22" s="105">
        <f>SUM('Италия(декабрь)'!C20 :'Италия(декабрь)'!C26)</f>
        <v>660</v>
      </c>
      <c r="D22" s="105">
        <f>SUM('Италия(декабрь)'!D20 :'Италия(декабрь)'!D26)</f>
        <v>350</v>
      </c>
      <c r="E22" s="105">
        <f>SUM('Италия(декабрь)'!E20 :'Италия(декабрь)'!E26)</f>
        <v>14</v>
      </c>
      <c r="F22" s="107">
        <f t="shared" si="17"/>
        <v>3.673181818</v>
      </c>
      <c r="G22" s="107">
        <f t="shared" si="18"/>
        <v>53.03030303</v>
      </c>
      <c r="H22" s="107">
        <f t="shared" si="19"/>
        <v>173.1642857</v>
      </c>
      <c r="I22" s="105">
        <f t="shared" si="20"/>
        <v>290.916</v>
      </c>
      <c r="K22" s="104" t="s">
        <v>29</v>
      </c>
      <c r="L22" s="105">
        <f>SUM('Италия(январь)'!L24 :'Италия(январь)'!L30)</f>
        <v>0</v>
      </c>
      <c r="M22" s="105">
        <f>SUM('Италия(январь)'!M24 :'Италия(январь)'!M30)</f>
        <v>0</v>
      </c>
      <c r="N22" s="105">
        <f>SUM('Италия(январь)'!N24 :'Италия(январь)'!N30)</f>
        <v>0</v>
      </c>
      <c r="O22" s="105">
        <f>SUM('Италия(январь)'!O24 :'Италия(январь)'!O30)</f>
        <v>0</v>
      </c>
      <c r="P22" s="23">
        <f t="shared" si="21"/>
        <v>0</v>
      </c>
      <c r="Q22" s="24">
        <f t="shared" si="22"/>
        <v>0</v>
      </c>
      <c r="R22" s="83">
        <f t="shared" si="23"/>
        <v>0</v>
      </c>
      <c r="S22" s="23">
        <f t="shared" si="24"/>
        <v>0</v>
      </c>
    </row>
    <row r="23">
      <c r="A23" s="104" t="s">
        <v>30</v>
      </c>
      <c r="B23" s="105">
        <f>SUM('Перу(декабрь)'!B27 :'Перу(декабрь)'!B33)</f>
        <v>936.47</v>
      </c>
      <c r="C23" s="105">
        <f>SUM('Перу(декабрь)'!C27 :'Перу(декабрь)'!C33)</f>
        <v>264</v>
      </c>
      <c r="D23" s="105">
        <f>SUM('Перу(декабрь)'!D27 :'Перу(декабрь)'!D33)</f>
        <v>112</v>
      </c>
      <c r="E23" s="105">
        <f>SUM('Перу(декабрь)'!E27 :'Перу(декабрь)'!E33)</f>
        <v>23</v>
      </c>
      <c r="F23" s="107">
        <f t="shared" si="17"/>
        <v>3.547234848</v>
      </c>
      <c r="G23" s="107">
        <f t="shared" si="18"/>
        <v>42.42424242</v>
      </c>
      <c r="H23" s="107">
        <f t="shared" si="19"/>
        <v>40.71608696</v>
      </c>
      <c r="I23" s="105">
        <f t="shared" si="20"/>
        <v>112.3764</v>
      </c>
      <c r="K23" s="104" t="s">
        <v>31</v>
      </c>
      <c r="L23" s="105">
        <f>SUM('Италия(январь)'!L31 :'Италия(январь)'!L36)</f>
        <v>0</v>
      </c>
      <c r="M23" s="105">
        <f>SUM('Италия(январь)'!M31 :'Италия(январь)'!M36)</f>
        <v>0</v>
      </c>
      <c r="N23" s="105">
        <f>SUM('Италия(январь)'!N31 :'Италия(январь)'!N36)</f>
        <v>0</v>
      </c>
      <c r="O23" s="105">
        <f>SUM('Италия(январь)'!O31 :'Италия(январь)'!O36)</f>
        <v>0</v>
      </c>
      <c r="P23" s="23">
        <f t="shared" si="21"/>
        <v>0</v>
      </c>
      <c r="Q23" s="24">
        <f t="shared" si="22"/>
        <v>0</v>
      </c>
      <c r="R23" s="83">
        <f t="shared" si="23"/>
        <v>0</v>
      </c>
      <c r="S23" s="23">
        <f t="shared" si="24"/>
        <v>0</v>
      </c>
    </row>
    <row r="24">
      <c r="A24" s="108"/>
      <c r="B24" s="108"/>
      <c r="C24" s="108"/>
      <c r="D24" s="108"/>
      <c r="E24" s="108"/>
      <c r="F24" s="108"/>
      <c r="G24" s="108"/>
      <c r="H24" s="108"/>
      <c r="I24" s="108"/>
    </row>
  </sheetData>
  <mergeCells count="12">
    <mergeCell ref="A10:I10"/>
    <mergeCell ref="A17:I17"/>
    <mergeCell ref="K17:S17"/>
    <mergeCell ref="A18:I18"/>
    <mergeCell ref="K18:S18"/>
    <mergeCell ref="A1:I1"/>
    <mergeCell ref="K1:S1"/>
    <mergeCell ref="A2:I2"/>
    <mergeCell ref="K2:S2"/>
    <mergeCell ref="A9:I9"/>
    <mergeCell ref="K9:S9"/>
    <mergeCell ref="K10:S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2" max="2" width="19.57"/>
    <col customWidth="1" min="6" max="7" width="18.14"/>
    <col customWidth="1" min="18" max="18" width="17.86"/>
  </cols>
  <sheetData>
    <row r="1">
      <c r="A1" s="70" t="s">
        <v>16</v>
      </c>
      <c r="B1" s="2"/>
      <c r="C1" s="2"/>
      <c r="D1" s="2"/>
      <c r="E1" s="2"/>
      <c r="F1" s="2"/>
      <c r="G1" s="2"/>
      <c r="H1" s="2"/>
      <c r="I1" s="3"/>
      <c r="K1" s="70" t="s">
        <v>1</v>
      </c>
      <c r="L1" s="2"/>
      <c r="M1" s="2"/>
      <c r="N1" s="2"/>
      <c r="O1" s="2"/>
      <c r="P1" s="2"/>
      <c r="Q1" s="2"/>
      <c r="R1" s="2"/>
      <c r="S1" s="3"/>
      <c r="U1" s="70" t="s">
        <v>35</v>
      </c>
      <c r="V1" s="2"/>
      <c r="W1" s="2"/>
      <c r="X1" s="2"/>
      <c r="Y1" s="2"/>
      <c r="Z1" s="2"/>
      <c r="AA1" s="2"/>
      <c r="AB1" s="3"/>
      <c r="AC1" s="6"/>
      <c r="AD1" s="70" t="s">
        <v>17</v>
      </c>
      <c r="AE1" s="2"/>
      <c r="AF1" s="2"/>
      <c r="AG1" s="2"/>
      <c r="AH1" s="2"/>
      <c r="AI1" s="2"/>
      <c r="AJ1" s="3"/>
      <c r="AK1" s="109"/>
      <c r="AL1" s="6"/>
      <c r="AM1" s="70" t="s">
        <v>18</v>
      </c>
      <c r="AN1" s="2"/>
      <c r="AO1" s="2"/>
      <c r="AP1" s="2"/>
      <c r="AQ1" s="2"/>
      <c r="AR1" s="2"/>
      <c r="AS1" s="3"/>
      <c r="AT1" s="6"/>
      <c r="AU1" s="6"/>
      <c r="AV1" s="6"/>
      <c r="AW1" s="6"/>
      <c r="AX1" s="6"/>
      <c r="AY1" s="6"/>
      <c r="AZ1" s="6"/>
      <c r="BA1" s="6"/>
      <c r="BB1" s="6"/>
    </row>
    <row r="2">
      <c r="A2" s="70" t="s">
        <v>2</v>
      </c>
      <c r="B2" s="2"/>
      <c r="C2" s="2"/>
      <c r="D2" s="2"/>
      <c r="E2" s="2"/>
      <c r="F2" s="2"/>
      <c r="G2" s="2"/>
      <c r="H2" s="2"/>
      <c r="I2" s="3"/>
      <c r="K2" s="70" t="s">
        <v>2</v>
      </c>
      <c r="L2" s="2"/>
      <c r="M2" s="2"/>
      <c r="N2" s="2"/>
      <c r="O2" s="2"/>
      <c r="P2" s="2"/>
      <c r="Q2" s="2"/>
      <c r="R2" s="2"/>
      <c r="S2" s="3"/>
      <c r="U2" s="70" t="s">
        <v>2</v>
      </c>
      <c r="V2" s="2"/>
      <c r="W2" s="2"/>
      <c r="X2" s="2"/>
      <c r="Y2" s="2"/>
      <c r="Z2" s="2"/>
      <c r="AA2" s="2"/>
      <c r="AB2" s="3"/>
      <c r="AC2" s="6"/>
      <c r="AD2" s="70" t="s">
        <v>2</v>
      </c>
      <c r="AE2" s="2"/>
      <c r="AF2" s="2"/>
      <c r="AG2" s="2"/>
      <c r="AH2" s="2"/>
      <c r="AI2" s="2"/>
      <c r="AJ2" s="3"/>
      <c r="AK2" s="109"/>
      <c r="AL2" s="6"/>
      <c r="AM2" s="70" t="s">
        <v>2</v>
      </c>
      <c r="AN2" s="2"/>
      <c r="AO2" s="2"/>
      <c r="AP2" s="2"/>
      <c r="AQ2" s="2"/>
      <c r="AR2" s="2"/>
      <c r="AS2" s="3"/>
      <c r="AT2" s="6"/>
      <c r="AU2" s="6"/>
      <c r="AV2" s="6"/>
      <c r="AW2" s="6"/>
      <c r="AX2" s="6"/>
      <c r="AY2" s="6"/>
      <c r="AZ2" s="6"/>
      <c r="BA2" s="6"/>
      <c r="BB2" s="6"/>
    </row>
    <row r="3">
      <c r="A3" s="9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1" t="s">
        <v>9</v>
      </c>
      <c r="H3" s="10" t="s">
        <v>10</v>
      </c>
      <c r="I3" s="45" t="s">
        <v>11</v>
      </c>
      <c r="K3" s="9" t="s">
        <v>3</v>
      </c>
      <c r="L3" s="9" t="s">
        <v>4</v>
      </c>
      <c r="M3" s="10" t="s">
        <v>5</v>
      </c>
      <c r="N3" s="10" t="s">
        <v>6</v>
      </c>
      <c r="O3" s="10" t="s">
        <v>7</v>
      </c>
      <c r="P3" s="10" t="s">
        <v>8</v>
      </c>
      <c r="Q3" s="11" t="s">
        <v>9</v>
      </c>
      <c r="R3" s="11" t="s">
        <v>13</v>
      </c>
      <c r="S3" s="45" t="s">
        <v>11</v>
      </c>
      <c r="U3" s="9" t="s">
        <v>3</v>
      </c>
      <c r="V3" s="9" t="s">
        <v>4</v>
      </c>
      <c r="W3" s="10" t="s">
        <v>5</v>
      </c>
      <c r="X3" s="10" t="s">
        <v>6</v>
      </c>
      <c r="Y3" s="10" t="s">
        <v>7</v>
      </c>
      <c r="Z3" s="10" t="s">
        <v>8</v>
      </c>
      <c r="AA3" s="10" t="s">
        <v>10</v>
      </c>
      <c r="AB3" s="11" t="s">
        <v>11</v>
      </c>
      <c r="AC3" s="17"/>
      <c r="AD3" s="9" t="s">
        <v>3</v>
      </c>
      <c r="AE3" s="9" t="s">
        <v>4</v>
      </c>
      <c r="AF3" s="10" t="s">
        <v>5</v>
      </c>
      <c r="AG3" s="10" t="s">
        <v>6</v>
      </c>
      <c r="AH3" s="10" t="s">
        <v>7</v>
      </c>
      <c r="AI3" s="10" t="s">
        <v>8</v>
      </c>
      <c r="AJ3" s="10" t="s">
        <v>10</v>
      </c>
      <c r="AK3" s="76" t="s">
        <v>11</v>
      </c>
      <c r="AL3" s="17"/>
      <c r="AM3" s="9" t="s">
        <v>3</v>
      </c>
      <c r="AN3" s="9" t="s">
        <v>4</v>
      </c>
      <c r="AO3" s="10" t="s">
        <v>5</v>
      </c>
      <c r="AP3" s="10" t="s">
        <v>6</v>
      </c>
      <c r="AQ3" s="10" t="s">
        <v>7</v>
      </c>
      <c r="AR3" s="10" t="s">
        <v>8</v>
      </c>
      <c r="AS3" s="10" t="s">
        <v>10</v>
      </c>
      <c r="AT3" s="17"/>
      <c r="AU3" s="17"/>
      <c r="AV3" s="17"/>
      <c r="AW3" s="17"/>
      <c r="AX3" s="17"/>
      <c r="AY3" s="17"/>
      <c r="AZ3" s="17"/>
      <c r="BA3" s="17"/>
      <c r="BB3" s="17"/>
    </row>
    <row r="4">
      <c r="A4" s="18">
        <v>45962.0</v>
      </c>
      <c r="B4" s="110"/>
      <c r="C4" s="110"/>
      <c r="D4" s="110"/>
      <c r="E4" s="19"/>
      <c r="F4" s="19"/>
      <c r="G4" s="19"/>
      <c r="H4" s="19"/>
      <c r="I4" s="19"/>
      <c r="K4" s="18">
        <v>45962.0</v>
      </c>
      <c r="L4" s="111"/>
      <c r="M4" s="29"/>
      <c r="N4" s="29"/>
      <c r="O4" s="29"/>
      <c r="P4" s="81"/>
      <c r="Q4" s="19"/>
      <c r="R4" s="19"/>
      <c r="S4" s="19"/>
      <c r="U4" s="18">
        <v>45962.0</v>
      </c>
      <c r="V4" s="19"/>
      <c r="W4" s="19"/>
      <c r="X4" s="19"/>
      <c r="Y4" s="19"/>
      <c r="Z4" s="19"/>
      <c r="AA4" s="19"/>
      <c r="AB4" s="19"/>
      <c r="AD4" s="18">
        <v>45962.0</v>
      </c>
      <c r="AE4" s="19"/>
      <c r="AF4" s="19"/>
      <c r="AG4" s="19"/>
      <c r="AH4" s="19"/>
      <c r="AI4" s="19"/>
      <c r="AJ4" s="19"/>
      <c r="AK4" s="19"/>
      <c r="AM4" s="18">
        <v>45962.0</v>
      </c>
      <c r="AN4" s="19"/>
      <c r="AO4" s="19"/>
      <c r="AP4" s="19"/>
      <c r="AQ4" s="19"/>
      <c r="AR4" s="19"/>
      <c r="AS4" s="19"/>
    </row>
    <row r="5">
      <c r="A5" s="18">
        <v>45963.0</v>
      </c>
      <c r="B5" s="110"/>
      <c r="C5" s="19"/>
      <c r="D5" s="19"/>
      <c r="E5" s="19"/>
      <c r="F5" s="19"/>
      <c r="G5" s="19"/>
      <c r="H5" s="19"/>
      <c r="I5" s="19"/>
      <c r="K5" s="18">
        <v>45963.0</v>
      </c>
      <c r="L5" s="82"/>
      <c r="M5" s="29"/>
      <c r="N5" s="29"/>
      <c r="O5" s="29"/>
      <c r="P5" s="81"/>
      <c r="Q5" s="33"/>
      <c r="R5" s="19"/>
      <c r="S5" s="19"/>
      <c r="U5" s="18">
        <v>45963.0</v>
      </c>
      <c r="V5" s="19"/>
      <c r="W5" s="19"/>
      <c r="X5" s="19"/>
      <c r="Y5" s="19"/>
      <c r="Z5" s="19"/>
      <c r="AA5" s="19"/>
      <c r="AB5" s="19"/>
      <c r="AD5" s="18">
        <v>45963.0</v>
      </c>
      <c r="AE5" s="19"/>
      <c r="AF5" s="19"/>
      <c r="AG5" s="19"/>
      <c r="AH5" s="19"/>
      <c r="AI5" s="19"/>
      <c r="AJ5" s="19"/>
      <c r="AK5" s="19"/>
      <c r="AM5" s="18">
        <v>45963.0</v>
      </c>
      <c r="AN5" s="19"/>
      <c r="AO5" s="19"/>
      <c r="AP5" s="19"/>
      <c r="AQ5" s="19"/>
      <c r="AR5" s="19"/>
      <c r="AS5" s="19"/>
    </row>
    <row r="6">
      <c r="A6" s="18">
        <v>45964.0</v>
      </c>
      <c r="B6" s="110"/>
      <c r="C6" s="19"/>
      <c r="D6" s="19"/>
      <c r="E6" s="19"/>
      <c r="F6" s="19"/>
      <c r="G6" s="19"/>
      <c r="H6" s="19"/>
      <c r="I6" s="19"/>
      <c r="K6" s="18">
        <v>45964.0</v>
      </c>
      <c r="L6" s="81"/>
      <c r="M6" s="31"/>
      <c r="N6" s="31"/>
      <c r="O6" s="31"/>
      <c r="P6" s="81"/>
      <c r="Q6" s="19"/>
      <c r="R6" s="19"/>
      <c r="S6" s="19"/>
      <c r="U6" s="18">
        <v>45964.0</v>
      </c>
      <c r="V6" s="19"/>
      <c r="W6" s="19"/>
      <c r="X6" s="19"/>
      <c r="Y6" s="19"/>
      <c r="Z6" s="19"/>
      <c r="AA6" s="19"/>
      <c r="AB6" s="19"/>
      <c r="AD6" s="18">
        <v>45964.0</v>
      </c>
      <c r="AE6" s="19"/>
      <c r="AF6" s="19"/>
      <c r="AG6" s="19"/>
      <c r="AH6" s="19"/>
      <c r="AI6" s="19"/>
      <c r="AJ6" s="19"/>
      <c r="AK6" s="19"/>
      <c r="AM6" s="18">
        <v>45964.0</v>
      </c>
      <c r="AN6" s="19"/>
      <c r="AO6" s="19"/>
      <c r="AP6" s="19"/>
      <c r="AQ6" s="19"/>
      <c r="AR6" s="19"/>
      <c r="AS6" s="19"/>
    </row>
    <row r="7">
      <c r="A7" s="18">
        <v>45965.0</v>
      </c>
      <c r="B7" s="19"/>
      <c r="C7" s="19"/>
      <c r="D7" s="19"/>
      <c r="E7" s="19"/>
      <c r="F7" s="19"/>
      <c r="G7" s="19"/>
      <c r="H7" s="19"/>
      <c r="I7" s="19"/>
      <c r="K7" s="18">
        <v>45965.0</v>
      </c>
      <c r="L7" s="81"/>
      <c r="M7" s="31"/>
      <c r="N7" s="31"/>
      <c r="O7" s="31"/>
      <c r="P7" s="81"/>
      <c r="Q7" s="19"/>
      <c r="R7" s="19"/>
      <c r="S7" s="19"/>
      <c r="U7" s="18">
        <v>45965.0</v>
      </c>
      <c r="V7" s="19"/>
      <c r="W7" s="19"/>
      <c r="X7" s="19"/>
      <c r="Y7" s="19"/>
      <c r="Z7" s="19"/>
      <c r="AA7" s="19"/>
      <c r="AB7" s="19"/>
      <c r="AD7" s="18">
        <v>45965.0</v>
      </c>
      <c r="AE7" s="19"/>
      <c r="AF7" s="19"/>
      <c r="AG7" s="19"/>
      <c r="AH7" s="19"/>
      <c r="AI7" s="19"/>
      <c r="AJ7" s="19"/>
      <c r="AK7" s="19"/>
      <c r="AM7" s="18">
        <v>45965.0</v>
      </c>
      <c r="AN7" s="19"/>
      <c r="AO7" s="19"/>
      <c r="AP7" s="19"/>
      <c r="AQ7" s="19"/>
      <c r="AR7" s="19"/>
      <c r="AS7" s="19"/>
    </row>
    <row r="8">
      <c r="A8" s="18">
        <v>45966.0</v>
      </c>
      <c r="B8" s="19"/>
      <c r="C8" s="19"/>
      <c r="D8" s="19"/>
      <c r="E8" s="19"/>
      <c r="F8" s="19"/>
      <c r="G8" s="19"/>
      <c r="H8" s="19"/>
      <c r="I8" s="19"/>
      <c r="K8" s="18">
        <v>45966.0</v>
      </c>
      <c r="L8" s="81"/>
      <c r="M8" s="31"/>
      <c r="N8" s="31"/>
      <c r="O8" s="31"/>
      <c r="P8" s="81"/>
      <c r="Q8" s="19"/>
      <c r="R8" s="19"/>
      <c r="S8" s="19"/>
      <c r="U8" s="18">
        <v>45966.0</v>
      </c>
      <c r="V8" s="19"/>
      <c r="W8" s="19"/>
      <c r="X8" s="19"/>
      <c r="Y8" s="19"/>
      <c r="Z8" s="19"/>
      <c r="AA8" s="19"/>
      <c r="AB8" s="19"/>
      <c r="AD8" s="18">
        <v>45966.0</v>
      </c>
      <c r="AE8" s="19"/>
      <c r="AF8" s="19"/>
      <c r="AG8" s="19"/>
      <c r="AH8" s="19"/>
      <c r="AI8" s="19"/>
      <c r="AJ8" s="19"/>
      <c r="AK8" s="19"/>
      <c r="AM8" s="18">
        <v>45966.0</v>
      </c>
      <c r="AN8" s="19"/>
      <c r="AO8" s="19"/>
      <c r="AP8" s="19"/>
      <c r="AQ8" s="19"/>
      <c r="AR8" s="19"/>
      <c r="AS8" s="19"/>
    </row>
    <row r="9">
      <c r="A9" s="18">
        <v>45967.0</v>
      </c>
      <c r="B9" s="19"/>
      <c r="C9" s="19"/>
      <c r="D9" s="19"/>
      <c r="E9" s="19"/>
      <c r="F9" s="19"/>
      <c r="G9" s="19"/>
      <c r="H9" s="19"/>
      <c r="I9" s="19"/>
      <c r="K9" s="18">
        <v>45967.0</v>
      </c>
      <c r="L9" s="19"/>
      <c r="M9" s="19"/>
      <c r="N9" s="19"/>
      <c r="O9" s="19"/>
      <c r="P9" s="19"/>
      <c r="Q9" s="19"/>
      <c r="R9" s="19"/>
      <c r="S9" s="19"/>
      <c r="U9" s="18">
        <v>45967.0</v>
      </c>
      <c r="V9" s="19"/>
      <c r="W9" s="19"/>
      <c r="X9" s="19"/>
      <c r="Y9" s="19"/>
      <c r="Z9" s="19"/>
      <c r="AA9" s="19"/>
      <c r="AB9" s="19"/>
      <c r="AD9" s="18">
        <v>45967.0</v>
      </c>
      <c r="AE9" s="19"/>
      <c r="AF9" s="19"/>
      <c r="AG9" s="19"/>
      <c r="AH9" s="19"/>
      <c r="AI9" s="19"/>
      <c r="AJ9" s="19"/>
      <c r="AK9" s="19"/>
      <c r="AM9" s="18">
        <v>45967.0</v>
      </c>
      <c r="AN9" s="19"/>
      <c r="AO9" s="19"/>
      <c r="AP9" s="19"/>
      <c r="AQ9" s="19"/>
      <c r="AR9" s="19"/>
      <c r="AS9" s="19"/>
    </row>
    <row r="10">
      <c r="A10" s="18">
        <v>45968.0</v>
      </c>
      <c r="B10" s="19"/>
      <c r="C10" s="19"/>
      <c r="D10" s="19"/>
      <c r="E10" s="19"/>
      <c r="F10" s="19"/>
      <c r="G10" s="19"/>
      <c r="H10" s="19"/>
      <c r="I10" s="19"/>
      <c r="K10" s="18">
        <v>45968.0</v>
      </c>
      <c r="L10" s="19"/>
      <c r="M10" s="19"/>
      <c r="N10" s="19"/>
      <c r="O10" s="19"/>
      <c r="P10" s="19"/>
      <c r="Q10" s="19"/>
      <c r="R10" s="19"/>
      <c r="S10" s="19"/>
      <c r="U10" s="18">
        <v>45968.0</v>
      </c>
      <c r="V10" s="19"/>
      <c r="W10" s="19"/>
      <c r="X10" s="19"/>
      <c r="Y10" s="19"/>
      <c r="Z10" s="19"/>
      <c r="AA10" s="19"/>
      <c r="AB10" s="19"/>
      <c r="AD10" s="18">
        <v>45968.0</v>
      </c>
      <c r="AE10" s="19"/>
      <c r="AF10" s="19"/>
      <c r="AG10" s="19"/>
      <c r="AH10" s="19"/>
      <c r="AI10" s="19"/>
      <c r="AJ10" s="19"/>
      <c r="AK10" s="19"/>
      <c r="AM10" s="18">
        <v>45968.0</v>
      </c>
      <c r="AN10" s="19"/>
      <c r="AO10" s="19"/>
      <c r="AP10" s="19"/>
      <c r="AQ10" s="19"/>
      <c r="AR10" s="19"/>
      <c r="AS10" s="19"/>
    </row>
    <row r="11">
      <c r="A11" s="18">
        <v>45969.0</v>
      </c>
      <c r="B11" s="112">
        <v>2.68</v>
      </c>
      <c r="C11" s="113">
        <v>3.0</v>
      </c>
      <c r="D11" s="113">
        <v>2.0</v>
      </c>
      <c r="E11" s="114"/>
      <c r="F11" s="114">
        <f t="shared" ref="F11:F33" si="1">B11/C11</f>
        <v>0.8933333333</v>
      </c>
      <c r="G11" s="114"/>
      <c r="H11" s="114">
        <f t="shared" ref="H11:H33" si="2">D11/C11*100</f>
        <v>66.66666667</v>
      </c>
      <c r="I11" s="19">
        <f t="shared" ref="I11:I33" si="3">B11*0.12</f>
        <v>0.3216</v>
      </c>
      <c r="K11" s="18">
        <v>45969.0</v>
      </c>
      <c r="L11" s="19"/>
      <c r="M11" s="19"/>
      <c r="N11" s="19"/>
      <c r="O11" s="19"/>
      <c r="P11" s="19"/>
      <c r="Q11" s="19"/>
      <c r="R11" s="19"/>
      <c r="S11" s="19"/>
      <c r="U11" s="18">
        <v>45969.0</v>
      </c>
      <c r="V11" s="19"/>
      <c r="W11" s="19"/>
      <c r="X11" s="19"/>
      <c r="Y11" s="19"/>
      <c r="Z11" s="19"/>
      <c r="AA11" s="19"/>
      <c r="AB11" s="19"/>
      <c r="AD11" s="18">
        <v>45969.0</v>
      </c>
      <c r="AE11" s="19"/>
      <c r="AF11" s="19"/>
      <c r="AG11" s="19"/>
      <c r="AH11" s="19"/>
      <c r="AI11" s="19"/>
      <c r="AJ11" s="19"/>
      <c r="AK11" s="19"/>
      <c r="AM11" s="18">
        <v>45969.0</v>
      </c>
      <c r="AN11" s="19"/>
      <c r="AO11" s="19"/>
      <c r="AP11" s="19"/>
      <c r="AQ11" s="19"/>
      <c r="AR11" s="19"/>
      <c r="AS11" s="19"/>
    </row>
    <row r="12">
      <c r="A12" s="18">
        <v>45970.0</v>
      </c>
      <c r="B12" s="115">
        <f>47.84+28.92</f>
        <v>76.76</v>
      </c>
      <c r="C12" s="113">
        <v>6.0</v>
      </c>
      <c r="D12" s="113">
        <v>1.0</v>
      </c>
      <c r="E12" s="114"/>
      <c r="F12" s="114">
        <f t="shared" si="1"/>
        <v>12.79333333</v>
      </c>
      <c r="G12" s="114"/>
      <c r="H12" s="114">
        <f t="shared" si="2"/>
        <v>16.66666667</v>
      </c>
      <c r="I12" s="19">
        <f t="shared" si="3"/>
        <v>9.2112</v>
      </c>
      <c r="K12" s="18">
        <v>45970.0</v>
      </c>
      <c r="L12" s="19"/>
      <c r="M12" s="19"/>
      <c r="N12" s="19"/>
      <c r="O12" s="19"/>
      <c r="P12" s="19"/>
      <c r="Q12" s="19"/>
      <c r="R12" s="19"/>
      <c r="S12" s="19"/>
      <c r="U12" s="18">
        <v>45970.0</v>
      </c>
      <c r="V12" s="19"/>
      <c r="W12" s="19"/>
      <c r="X12" s="19"/>
      <c r="Y12" s="19"/>
      <c r="Z12" s="19"/>
      <c r="AA12" s="19"/>
      <c r="AB12" s="19"/>
      <c r="AD12" s="18">
        <v>45970.0</v>
      </c>
      <c r="AE12" s="19"/>
      <c r="AF12" s="19"/>
      <c r="AG12" s="19"/>
      <c r="AH12" s="19"/>
      <c r="AI12" s="19"/>
      <c r="AJ12" s="19"/>
      <c r="AK12" s="19"/>
      <c r="AM12" s="18">
        <v>45970.0</v>
      </c>
      <c r="AN12" s="19"/>
      <c r="AO12" s="19"/>
      <c r="AP12" s="19"/>
      <c r="AQ12" s="19"/>
      <c r="AR12" s="19"/>
      <c r="AS12" s="19"/>
    </row>
    <row r="13">
      <c r="A13" s="18">
        <v>45971.0</v>
      </c>
      <c r="B13" s="116">
        <f>94.46+95.74+99.86</f>
        <v>290.06</v>
      </c>
      <c r="C13" s="116">
        <v>93.0</v>
      </c>
      <c r="D13" s="116">
        <v>48.0</v>
      </c>
      <c r="E13" s="116">
        <v>1.0</v>
      </c>
      <c r="F13" s="114">
        <f t="shared" si="1"/>
        <v>3.118924731</v>
      </c>
      <c r="G13" s="114">
        <f>B13/E13</f>
        <v>290.06</v>
      </c>
      <c r="H13" s="114">
        <f t="shared" si="2"/>
        <v>51.61290323</v>
      </c>
      <c r="I13" s="19">
        <f t="shared" si="3"/>
        <v>34.8072</v>
      </c>
      <c r="K13" s="18">
        <v>45971.0</v>
      </c>
      <c r="L13" s="19"/>
      <c r="M13" s="19"/>
      <c r="N13" s="19"/>
      <c r="O13" s="19"/>
      <c r="P13" s="19"/>
      <c r="Q13" s="19"/>
      <c r="R13" s="19"/>
      <c r="S13" s="19"/>
      <c r="U13" s="18">
        <v>45971.0</v>
      </c>
      <c r="V13" s="19"/>
      <c r="W13" s="19"/>
      <c r="X13" s="19"/>
      <c r="Y13" s="19"/>
      <c r="Z13" s="19"/>
      <c r="AA13" s="19"/>
      <c r="AB13" s="19"/>
      <c r="AD13" s="18">
        <v>45971.0</v>
      </c>
      <c r="AE13" s="19"/>
      <c r="AF13" s="19"/>
      <c r="AG13" s="19"/>
      <c r="AH13" s="19"/>
      <c r="AI13" s="19"/>
      <c r="AJ13" s="19"/>
      <c r="AK13" s="19"/>
      <c r="AM13" s="18">
        <v>45971.0</v>
      </c>
      <c r="AN13" s="19"/>
      <c r="AO13" s="19"/>
      <c r="AP13" s="19"/>
      <c r="AQ13" s="19"/>
      <c r="AR13" s="19"/>
      <c r="AS13" s="19"/>
    </row>
    <row r="14">
      <c r="A14" s="18">
        <v>45972.0</v>
      </c>
      <c r="B14" s="115">
        <f>16.85+29.27+101.66</f>
        <v>147.78</v>
      </c>
      <c r="C14" s="116">
        <v>37.0</v>
      </c>
      <c r="D14" s="116">
        <v>15.0</v>
      </c>
      <c r="E14" s="115"/>
      <c r="F14" s="114">
        <f t="shared" si="1"/>
        <v>3.994054054</v>
      </c>
      <c r="G14" s="114"/>
      <c r="H14" s="114">
        <f t="shared" si="2"/>
        <v>40.54054054</v>
      </c>
      <c r="I14" s="19">
        <f t="shared" si="3"/>
        <v>17.7336</v>
      </c>
      <c r="K14" s="18">
        <v>45972.0</v>
      </c>
      <c r="L14" s="19"/>
      <c r="M14" s="19"/>
      <c r="N14" s="19"/>
      <c r="O14" s="19"/>
      <c r="P14" s="19"/>
      <c r="Q14" s="19"/>
      <c r="R14" s="19"/>
      <c r="S14" s="19"/>
      <c r="U14" s="18">
        <v>45972.0</v>
      </c>
      <c r="V14" s="19"/>
      <c r="W14" s="19"/>
      <c r="X14" s="19"/>
      <c r="Y14" s="19"/>
      <c r="Z14" s="19"/>
      <c r="AA14" s="19"/>
      <c r="AB14" s="19"/>
      <c r="AD14" s="18">
        <v>45972.0</v>
      </c>
      <c r="AE14" s="19"/>
      <c r="AF14" s="19"/>
      <c r="AG14" s="19"/>
      <c r="AH14" s="19"/>
      <c r="AI14" s="19"/>
      <c r="AJ14" s="19"/>
      <c r="AK14" s="19"/>
      <c r="AM14" s="18">
        <v>45972.0</v>
      </c>
      <c r="AN14" s="19"/>
      <c r="AO14" s="19"/>
      <c r="AP14" s="19"/>
      <c r="AQ14" s="19"/>
      <c r="AR14" s="19"/>
      <c r="AS14" s="19"/>
    </row>
    <row r="15">
      <c r="A15" s="18">
        <v>45973.0</v>
      </c>
      <c r="B15" s="114">
        <f>131.9+305.1</f>
        <v>437</v>
      </c>
      <c r="C15" s="116">
        <v>76.0</v>
      </c>
      <c r="D15" s="116">
        <v>40.0</v>
      </c>
      <c r="E15" s="116">
        <v>2.0</v>
      </c>
      <c r="F15" s="114">
        <f t="shared" si="1"/>
        <v>5.75</v>
      </c>
      <c r="G15" s="114">
        <f t="shared" ref="G15:G26" si="4">B15/E15</f>
        <v>218.5</v>
      </c>
      <c r="H15" s="114">
        <f t="shared" si="2"/>
        <v>52.63157895</v>
      </c>
      <c r="I15" s="19">
        <f t="shared" si="3"/>
        <v>52.44</v>
      </c>
      <c r="K15" s="18">
        <v>45973.0</v>
      </c>
      <c r="L15" s="117"/>
      <c r="M15" s="19"/>
      <c r="N15" s="19"/>
      <c r="O15" s="19"/>
      <c r="P15" s="19"/>
      <c r="Q15" s="19"/>
      <c r="R15" s="19"/>
      <c r="S15" s="19"/>
      <c r="U15" s="18">
        <v>45973.0</v>
      </c>
      <c r="V15" s="19"/>
      <c r="W15" s="19"/>
      <c r="X15" s="19"/>
      <c r="Y15" s="19"/>
      <c r="Z15" s="19"/>
      <c r="AA15" s="19"/>
      <c r="AB15" s="19"/>
      <c r="AD15" s="18">
        <v>45973.0</v>
      </c>
      <c r="AE15" s="19"/>
      <c r="AF15" s="19"/>
      <c r="AG15" s="19"/>
      <c r="AH15" s="19"/>
      <c r="AI15" s="19"/>
      <c r="AJ15" s="19"/>
      <c r="AK15" s="19"/>
      <c r="AM15" s="18">
        <v>45973.0</v>
      </c>
      <c r="AN15" s="19"/>
      <c r="AO15" s="19"/>
      <c r="AP15" s="19"/>
      <c r="AQ15" s="19"/>
      <c r="AR15" s="19"/>
      <c r="AS15" s="19"/>
    </row>
    <row r="16">
      <c r="A16" s="18">
        <v>45974.0</v>
      </c>
      <c r="B16" s="114">
        <f>145.61+
189.53</f>
        <v>335.14</v>
      </c>
      <c r="C16" s="113">
        <v>130.0</v>
      </c>
      <c r="D16" s="113">
        <v>50.0</v>
      </c>
      <c r="E16" s="113">
        <v>2.0</v>
      </c>
      <c r="F16" s="114">
        <f t="shared" si="1"/>
        <v>2.578</v>
      </c>
      <c r="G16" s="114">
        <f t="shared" si="4"/>
        <v>167.57</v>
      </c>
      <c r="H16" s="114">
        <f t="shared" si="2"/>
        <v>38.46153846</v>
      </c>
      <c r="I16" s="19">
        <f t="shared" si="3"/>
        <v>40.2168</v>
      </c>
      <c r="K16" s="18">
        <v>45974.0</v>
      </c>
      <c r="L16" s="118"/>
      <c r="M16" s="110"/>
      <c r="N16" s="110"/>
      <c r="O16" s="19"/>
      <c r="P16" s="19"/>
      <c r="Q16" s="19"/>
      <c r="R16" s="19"/>
      <c r="S16" s="19"/>
      <c r="U16" s="18">
        <v>45974.0</v>
      </c>
      <c r="V16" s="110">
        <v>2.9</v>
      </c>
      <c r="W16" s="19"/>
      <c r="X16" s="19"/>
      <c r="Y16" s="19"/>
      <c r="Z16" s="19"/>
      <c r="AA16" s="19"/>
      <c r="AB16" s="19"/>
      <c r="AD16" s="18">
        <v>45974.0</v>
      </c>
      <c r="AE16" s="19"/>
      <c r="AF16" s="19"/>
      <c r="AG16" s="19"/>
      <c r="AH16" s="19"/>
      <c r="AI16" s="19"/>
      <c r="AJ16" s="19"/>
      <c r="AK16" s="19"/>
      <c r="AM16" s="18">
        <v>45974.0</v>
      </c>
      <c r="AN16" s="19"/>
      <c r="AO16" s="19"/>
      <c r="AP16" s="19"/>
      <c r="AQ16" s="19"/>
      <c r="AR16" s="19"/>
      <c r="AS16" s="19"/>
    </row>
    <row r="17">
      <c r="A17" s="18">
        <v>45975.0</v>
      </c>
      <c r="B17" s="114">
        <f>155+
149.46</f>
        <v>304.46</v>
      </c>
      <c r="C17" s="113">
        <v>133.0</v>
      </c>
      <c r="D17" s="113">
        <v>56.0</v>
      </c>
      <c r="E17" s="113">
        <v>8.0</v>
      </c>
      <c r="F17" s="114">
        <f t="shared" si="1"/>
        <v>2.289172932</v>
      </c>
      <c r="G17" s="114">
        <f t="shared" si="4"/>
        <v>38.0575</v>
      </c>
      <c r="H17" s="114">
        <f t="shared" si="2"/>
        <v>42.10526316</v>
      </c>
      <c r="I17" s="19">
        <f t="shared" si="3"/>
        <v>36.5352</v>
      </c>
      <c r="K17" s="18">
        <v>45975.0</v>
      </c>
      <c r="L17" s="118">
        <v>20.27</v>
      </c>
      <c r="M17" s="119"/>
      <c r="N17" s="33"/>
      <c r="O17" s="19"/>
      <c r="P17" s="81"/>
      <c r="Q17" s="19"/>
      <c r="R17" s="19"/>
      <c r="S17" s="19">
        <f t="shared" ref="S17:S33" si="5">L17*0.1</f>
        <v>2.027</v>
      </c>
      <c r="U17" s="18">
        <v>45975.0</v>
      </c>
      <c r="V17" s="110">
        <v>99.37</v>
      </c>
      <c r="W17" s="19"/>
      <c r="X17" s="19"/>
      <c r="Y17" s="19"/>
      <c r="Z17" s="19"/>
      <c r="AA17" s="19"/>
      <c r="AB17" s="19"/>
      <c r="AD17" s="18">
        <v>45975.0</v>
      </c>
      <c r="AE17" s="19"/>
      <c r="AF17" s="19"/>
      <c r="AG17" s="19"/>
      <c r="AH17" s="19"/>
      <c r="AI17" s="19"/>
      <c r="AJ17" s="19"/>
      <c r="AK17" s="19"/>
      <c r="AM17" s="18">
        <v>45975.0</v>
      </c>
      <c r="AN17" s="19"/>
      <c r="AO17" s="19"/>
      <c r="AP17" s="19"/>
      <c r="AQ17" s="19"/>
      <c r="AR17" s="19"/>
      <c r="AS17" s="19"/>
    </row>
    <row r="18">
      <c r="A18" s="18">
        <v>45976.0</v>
      </c>
      <c r="B18" s="114">
        <f>157.64+
30.25</f>
        <v>187.89</v>
      </c>
      <c r="C18" s="113">
        <v>52.0</v>
      </c>
      <c r="D18" s="113">
        <v>26.0</v>
      </c>
      <c r="E18" s="113">
        <v>4.0</v>
      </c>
      <c r="F18" s="114">
        <f t="shared" si="1"/>
        <v>3.613269231</v>
      </c>
      <c r="G18" s="114">
        <f t="shared" si="4"/>
        <v>46.9725</v>
      </c>
      <c r="H18" s="114">
        <f t="shared" si="2"/>
        <v>50</v>
      </c>
      <c r="I18" s="19">
        <f t="shared" si="3"/>
        <v>22.5468</v>
      </c>
      <c r="K18" s="18">
        <v>45976.0</v>
      </c>
      <c r="L18" s="118">
        <v>79.38</v>
      </c>
      <c r="M18" s="19"/>
      <c r="N18" s="19"/>
      <c r="O18" s="19"/>
      <c r="P18" s="81"/>
      <c r="Q18" s="33"/>
      <c r="R18" s="19"/>
      <c r="S18" s="19">
        <f t="shared" si="5"/>
        <v>7.938</v>
      </c>
      <c r="U18" s="18">
        <v>45976.0</v>
      </c>
      <c r="V18" s="110">
        <v>37.5</v>
      </c>
      <c r="W18" s="19"/>
      <c r="X18" s="19"/>
      <c r="Y18" s="19"/>
      <c r="Z18" s="19"/>
      <c r="AA18" s="19"/>
      <c r="AB18" s="19"/>
      <c r="AD18" s="18">
        <v>45976.0</v>
      </c>
      <c r="AE18" s="19"/>
      <c r="AF18" s="19"/>
      <c r="AG18" s="19"/>
      <c r="AH18" s="19"/>
      <c r="AI18" s="19"/>
      <c r="AJ18" s="19"/>
      <c r="AK18" s="19"/>
      <c r="AM18" s="18">
        <v>45976.0</v>
      </c>
      <c r="AN18" s="19"/>
      <c r="AO18" s="19"/>
      <c r="AP18" s="19"/>
      <c r="AQ18" s="19"/>
      <c r="AR18" s="19"/>
      <c r="AS18" s="19"/>
    </row>
    <row r="19">
      <c r="A19" s="18">
        <v>45977.0</v>
      </c>
      <c r="B19" s="114">
        <f>165.71+
180.64</f>
        <v>346.35</v>
      </c>
      <c r="C19" s="113">
        <v>155.0</v>
      </c>
      <c r="D19" s="113">
        <v>67.0</v>
      </c>
      <c r="E19" s="113">
        <v>3.0</v>
      </c>
      <c r="F19" s="114">
        <f t="shared" si="1"/>
        <v>2.234516129</v>
      </c>
      <c r="G19" s="114">
        <f t="shared" si="4"/>
        <v>115.45</v>
      </c>
      <c r="H19" s="114">
        <f t="shared" si="2"/>
        <v>43.22580645</v>
      </c>
      <c r="I19" s="19">
        <f t="shared" si="3"/>
        <v>41.562</v>
      </c>
      <c r="K19" s="18">
        <v>45977.0</v>
      </c>
      <c r="L19" s="117"/>
      <c r="M19" s="19"/>
      <c r="N19" s="19"/>
      <c r="O19" s="19"/>
      <c r="P19" s="81"/>
      <c r="Q19" s="19"/>
      <c r="R19" s="19"/>
      <c r="S19" s="19">
        <f t="shared" si="5"/>
        <v>0</v>
      </c>
      <c r="T19" s="19"/>
      <c r="U19" s="18">
        <v>45977.0</v>
      </c>
      <c r="V19" s="19"/>
      <c r="W19" s="19"/>
      <c r="X19" s="19"/>
      <c r="Y19" s="19"/>
      <c r="Z19" s="19"/>
      <c r="AA19" s="19"/>
      <c r="AB19" s="19"/>
      <c r="AD19" s="18">
        <v>45977.0</v>
      </c>
      <c r="AE19" s="19"/>
      <c r="AF19" s="19"/>
      <c r="AG19" s="19"/>
      <c r="AH19" s="19"/>
      <c r="AI19" s="19"/>
      <c r="AJ19" s="19"/>
      <c r="AK19" s="19"/>
      <c r="AM19" s="18">
        <v>45977.0</v>
      </c>
      <c r="AN19" s="19"/>
      <c r="AO19" s="19"/>
      <c r="AP19" s="19"/>
      <c r="AQ19" s="19"/>
      <c r="AR19" s="19"/>
      <c r="AS19" s="19"/>
    </row>
    <row r="20">
      <c r="A20" s="18">
        <v>45978.0</v>
      </c>
      <c r="B20" s="114">
        <f>149.68+
171.9</f>
        <v>321.58</v>
      </c>
      <c r="C20" s="116">
        <v>134.0</v>
      </c>
      <c r="D20" s="116">
        <v>61.0</v>
      </c>
      <c r="E20" s="116">
        <v>2.0</v>
      </c>
      <c r="F20" s="114">
        <f t="shared" si="1"/>
        <v>2.399850746</v>
      </c>
      <c r="G20" s="114">
        <f t="shared" si="4"/>
        <v>160.79</v>
      </c>
      <c r="H20" s="114">
        <f t="shared" si="2"/>
        <v>45.52238806</v>
      </c>
      <c r="I20" s="19">
        <f t="shared" si="3"/>
        <v>38.5896</v>
      </c>
      <c r="K20" s="18">
        <v>45978.0</v>
      </c>
      <c r="L20" s="19"/>
      <c r="M20" s="19"/>
      <c r="N20" s="19"/>
      <c r="O20" s="19"/>
      <c r="P20" s="81"/>
      <c r="Q20" s="19"/>
      <c r="R20" s="19"/>
      <c r="S20" s="19">
        <f t="shared" si="5"/>
        <v>0</v>
      </c>
      <c r="U20" s="18">
        <v>45978.0</v>
      </c>
      <c r="V20" s="19"/>
      <c r="W20" s="19"/>
      <c r="X20" s="19"/>
      <c r="Y20" s="19"/>
      <c r="Z20" s="19"/>
      <c r="AA20" s="19"/>
      <c r="AB20" s="19"/>
      <c r="AD20" s="18">
        <v>45978.0</v>
      </c>
      <c r="AE20" s="19"/>
      <c r="AF20" s="19"/>
      <c r="AG20" s="19"/>
      <c r="AH20" s="19"/>
      <c r="AI20" s="19"/>
      <c r="AJ20" s="19"/>
      <c r="AK20" s="19"/>
      <c r="AM20" s="18">
        <v>45978.0</v>
      </c>
      <c r="AN20" s="19"/>
      <c r="AO20" s="19"/>
      <c r="AP20" s="19"/>
      <c r="AQ20" s="19"/>
      <c r="AR20" s="19"/>
      <c r="AS20" s="19"/>
    </row>
    <row r="21">
      <c r="A21" s="18">
        <v>45979.0</v>
      </c>
      <c r="B21" s="114">
        <f>117.54+
215.19</f>
        <v>332.73</v>
      </c>
      <c r="C21" s="116">
        <v>123.0</v>
      </c>
      <c r="D21" s="116">
        <v>54.0</v>
      </c>
      <c r="E21" s="116">
        <v>2.0</v>
      </c>
      <c r="F21" s="114">
        <f t="shared" si="1"/>
        <v>2.705121951</v>
      </c>
      <c r="G21" s="114">
        <f t="shared" si="4"/>
        <v>166.365</v>
      </c>
      <c r="H21" s="114">
        <f t="shared" si="2"/>
        <v>43.90243902</v>
      </c>
      <c r="I21" s="19">
        <f t="shared" si="3"/>
        <v>39.9276</v>
      </c>
      <c r="K21" s="18">
        <v>45979.0</v>
      </c>
      <c r="L21" s="120"/>
      <c r="M21" s="120"/>
      <c r="N21" s="120"/>
      <c r="O21" s="120"/>
      <c r="P21" s="81"/>
      <c r="Q21" s="19"/>
      <c r="R21" s="19"/>
      <c r="S21" s="19">
        <f t="shared" si="5"/>
        <v>0</v>
      </c>
      <c r="U21" s="18">
        <v>45979.0</v>
      </c>
      <c r="V21" s="19"/>
      <c r="W21" s="19"/>
      <c r="X21" s="19"/>
      <c r="Y21" s="19"/>
      <c r="Z21" s="19"/>
      <c r="AA21" s="19"/>
      <c r="AB21" s="19"/>
      <c r="AD21" s="18">
        <v>45979.0</v>
      </c>
      <c r="AE21" s="19"/>
      <c r="AF21" s="19"/>
      <c r="AG21" s="19"/>
      <c r="AH21" s="19"/>
      <c r="AI21" s="19"/>
      <c r="AJ21" s="19"/>
      <c r="AK21" s="19"/>
      <c r="AM21" s="18">
        <v>45979.0</v>
      </c>
      <c r="AN21" s="19"/>
      <c r="AO21" s="19"/>
      <c r="AP21" s="19"/>
      <c r="AQ21" s="19"/>
      <c r="AR21" s="19"/>
      <c r="AS21" s="19"/>
    </row>
    <row r="22">
      <c r="A22" s="18">
        <v>45980.0</v>
      </c>
      <c r="B22" s="114">
        <f>
155.26+
219.52</f>
        <v>374.78</v>
      </c>
      <c r="C22" s="116">
        <v>121.0</v>
      </c>
      <c r="D22" s="116">
        <v>59.0</v>
      </c>
      <c r="E22" s="116">
        <v>5.0</v>
      </c>
      <c r="F22" s="114">
        <f t="shared" si="1"/>
        <v>3.097355372</v>
      </c>
      <c r="G22" s="114">
        <f t="shared" si="4"/>
        <v>74.956</v>
      </c>
      <c r="H22" s="114">
        <f t="shared" si="2"/>
        <v>48.76033058</v>
      </c>
      <c r="I22" s="19">
        <f t="shared" si="3"/>
        <v>44.9736</v>
      </c>
      <c r="K22" s="18">
        <v>45980.0</v>
      </c>
      <c r="L22" s="120"/>
      <c r="M22" s="120"/>
      <c r="N22" s="120"/>
      <c r="O22" s="120"/>
      <c r="P22" s="81"/>
      <c r="Q22" s="19"/>
      <c r="R22" s="19"/>
      <c r="S22" s="19">
        <f t="shared" si="5"/>
        <v>0</v>
      </c>
      <c r="U22" s="18">
        <v>45980.0</v>
      </c>
      <c r="V22" s="19"/>
      <c r="W22" s="19"/>
      <c r="X22" s="19"/>
      <c r="Y22" s="19"/>
      <c r="Z22" s="19"/>
      <c r="AA22" s="19"/>
      <c r="AB22" s="19"/>
      <c r="AD22" s="18">
        <v>45980.0</v>
      </c>
      <c r="AE22" s="19"/>
      <c r="AF22" s="19"/>
      <c r="AG22" s="19"/>
      <c r="AH22" s="19"/>
      <c r="AI22" s="19"/>
      <c r="AJ22" s="19"/>
      <c r="AK22" s="19"/>
      <c r="AM22" s="18">
        <v>45980.0</v>
      </c>
      <c r="AN22" s="19"/>
      <c r="AO22" s="19"/>
      <c r="AP22" s="19"/>
      <c r="AQ22" s="19"/>
      <c r="AR22" s="19"/>
      <c r="AS22" s="19"/>
    </row>
    <row r="23">
      <c r="A23" s="18">
        <v>45981.0</v>
      </c>
      <c r="B23" s="114">
        <f>159.21+
217.93</f>
        <v>377.14</v>
      </c>
      <c r="C23" s="113">
        <v>124.0</v>
      </c>
      <c r="D23" s="113">
        <v>58.0</v>
      </c>
      <c r="E23" s="113">
        <v>1.0</v>
      </c>
      <c r="F23" s="114">
        <f t="shared" si="1"/>
        <v>3.041451613</v>
      </c>
      <c r="G23" s="114">
        <f t="shared" si="4"/>
        <v>377.14</v>
      </c>
      <c r="H23" s="114">
        <f t="shared" si="2"/>
        <v>46.77419355</v>
      </c>
      <c r="I23" s="19">
        <f t="shared" si="3"/>
        <v>45.2568</v>
      </c>
      <c r="K23" s="18">
        <v>45981.0</v>
      </c>
      <c r="L23" s="114"/>
      <c r="M23" s="113">
        <v>1.0</v>
      </c>
      <c r="N23" s="114"/>
      <c r="O23" s="114"/>
      <c r="P23" s="19"/>
      <c r="Q23" s="19"/>
      <c r="R23" s="19"/>
      <c r="S23" s="19">
        <f t="shared" si="5"/>
        <v>0</v>
      </c>
      <c r="U23" s="18">
        <v>45981.0</v>
      </c>
      <c r="V23" s="19"/>
      <c r="W23" s="19"/>
      <c r="X23" s="19"/>
      <c r="Y23" s="19"/>
      <c r="Z23" s="19"/>
      <c r="AA23" s="19"/>
      <c r="AB23" s="19"/>
      <c r="AD23" s="18">
        <v>45981.0</v>
      </c>
      <c r="AE23" s="19"/>
      <c r="AF23" s="19"/>
      <c r="AG23" s="19"/>
      <c r="AH23" s="19"/>
      <c r="AI23" s="19"/>
      <c r="AJ23" s="19"/>
      <c r="AK23" s="19"/>
      <c r="AM23" s="18">
        <v>45981.0</v>
      </c>
      <c r="AN23" s="19"/>
      <c r="AO23" s="19"/>
      <c r="AP23" s="19"/>
      <c r="AQ23" s="19"/>
      <c r="AR23" s="19"/>
      <c r="AS23" s="19"/>
    </row>
    <row r="24">
      <c r="A24" s="18">
        <v>45982.0</v>
      </c>
      <c r="B24" s="114">
        <f>127.25+
260.01</f>
        <v>387.26</v>
      </c>
      <c r="C24" s="113">
        <v>154.0</v>
      </c>
      <c r="D24" s="113">
        <v>69.0</v>
      </c>
      <c r="E24" s="113">
        <v>6.0</v>
      </c>
      <c r="F24" s="114">
        <f t="shared" si="1"/>
        <v>2.514675325</v>
      </c>
      <c r="G24" s="114">
        <f t="shared" si="4"/>
        <v>64.54333333</v>
      </c>
      <c r="H24" s="114">
        <f t="shared" si="2"/>
        <v>44.80519481</v>
      </c>
      <c r="I24" s="19">
        <f t="shared" si="3"/>
        <v>46.4712</v>
      </c>
      <c r="K24" s="18">
        <v>45982.0</v>
      </c>
      <c r="L24" s="115">
        <f>50.63+
71.84+
29.31</f>
        <v>151.78</v>
      </c>
      <c r="M24" s="116">
        <v>4.0</v>
      </c>
      <c r="N24" s="115">
        <v>30.0</v>
      </c>
      <c r="O24" s="114"/>
      <c r="P24" s="81">
        <f t="shared" ref="P24:P25" si="6">L24/M24</f>
        <v>37.945</v>
      </c>
      <c r="Q24" s="19"/>
      <c r="R24" s="19">
        <f t="shared" ref="R24:R25" si="7">N24/M24*100</f>
        <v>750</v>
      </c>
      <c r="S24" s="19">
        <f t="shared" si="5"/>
        <v>15.178</v>
      </c>
      <c r="U24" s="18">
        <v>45982.0</v>
      </c>
      <c r="V24" s="110">
        <v>19.65</v>
      </c>
      <c r="W24" s="19"/>
      <c r="X24" s="19"/>
      <c r="Y24" s="19"/>
      <c r="Z24" s="19"/>
      <c r="AA24" s="19"/>
      <c r="AB24" s="19"/>
      <c r="AD24" s="18">
        <v>45982.0</v>
      </c>
      <c r="AE24" s="19"/>
      <c r="AF24" s="19"/>
      <c r="AG24" s="19"/>
      <c r="AH24" s="19"/>
      <c r="AI24" s="19"/>
      <c r="AJ24" s="19"/>
      <c r="AK24" s="19"/>
      <c r="AM24" s="18">
        <v>45982.0</v>
      </c>
      <c r="AN24" s="19"/>
      <c r="AO24" s="19"/>
      <c r="AP24" s="19"/>
      <c r="AQ24" s="19"/>
      <c r="AR24" s="19"/>
      <c r="AS24" s="19"/>
    </row>
    <row r="25">
      <c r="A25" s="18">
        <v>45983.0</v>
      </c>
      <c r="B25" s="114">
        <f>16.88+
0+
81.36</f>
        <v>98.24</v>
      </c>
      <c r="C25" s="113">
        <v>49.0</v>
      </c>
      <c r="D25" s="113">
        <v>23.0</v>
      </c>
      <c r="E25" s="113">
        <v>4.0</v>
      </c>
      <c r="F25" s="114">
        <f t="shared" si="1"/>
        <v>2.004897959</v>
      </c>
      <c r="G25" s="114">
        <f t="shared" si="4"/>
        <v>24.56</v>
      </c>
      <c r="H25" s="114">
        <f t="shared" si="2"/>
        <v>46.93877551</v>
      </c>
      <c r="I25" s="19">
        <f t="shared" si="3"/>
        <v>11.7888</v>
      </c>
      <c r="K25" s="18">
        <v>45983.0</v>
      </c>
      <c r="L25" s="115">
        <v>60.36</v>
      </c>
      <c r="M25" s="116">
        <v>6.0</v>
      </c>
      <c r="N25" s="116">
        <v>6.0</v>
      </c>
      <c r="O25" s="113">
        <v>1.0</v>
      </c>
      <c r="P25" s="81">
        <f t="shared" si="6"/>
        <v>10.06</v>
      </c>
      <c r="Q25" s="33">
        <v>0.0</v>
      </c>
      <c r="R25" s="19">
        <f t="shared" si="7"/>
        <v>100</v>
      </c>
      <c r="S25" s="19">
        <f t="shared" si="5"/>
        <v>6.036</v>
      </c>
      <c r="U25" s="18">
        <v>45983.0</v>
      </c>
      <c r="V25" s="19"/>
      <c r="W25" s="19"/>
      <c r="X25" s="19"/>
      <c r="Y25" s="19"/>
      <c r="Z25" s="19"/>
      <c r="AA25" s="19"/>
      <c r="AB25" s="19"/>
      <c r="AD25" s="18">
        <v>45983.0</v>
      </c>
      <c r="AE25" s="19"/>
      <c r="AF25" s="19"/>
      <c r="AG25" s="19"/>
      <c r="AH25" s="19"/>
      <c r="AI25" s="19"/>
      <c r="AJ25" s="19"/>
      <c r="AK25" s="19"/>
      <c r="AM25" s="18">
        <v>45983.0</v>
      </c>
      <c r="AN25" s="19"/>
      <c r="AO25" s="19"/>
      <c r="AP25" s="19"/>
      <c r="AQ25" s="19"/>
      <c r="AR25" s="19"/>
      <c r="AS25" s="19"/>
    </row>
    <row r="26">
      <c r="A26" s="18">
        <v>45984.0</v>
      </c>
      <c r="B26" s="114">
        <f>235.43+
29.05</f>
        <v>264.48</v>
      </c>
      <c r="C26" s="113">
        <v>96.0</v>
      </c>
      <c r="D26" s="113">
        <v>45.0</v>
      </c>
      <c r="E26" s="113">
        <v>5.0</v>
      </c>
      <c r="F26" s="114">
        <f t="shared" si="1"/>
        <v>2.755</v>
      </c>
      <c r="G26" s="114">
        <f t="shared" si="4"/>
        <v>52.896</v>
      </c>
      <c r="H26" s="114">
        <f t="shared" si="2"/>
        <v>46.875</v>
      </c>
      <c r="I26" s="19">
        <f t="shared" si="3"/>
        <v>31.7376</v>
      </c>
      <c r="K26" s="18">
        <v>45984.0</v>
      </c>
      <c r="L26" s="114"/>
      <c r="M26" s="115"/>
      <c r="N26" s="115"/>
      <c r="O26" s="116">
        <v>1.0</v>
      </c>
      <c r="P26" s="81"/>
      <c r="Q26" s="19">
        <f t="shared" ref="Q26:Q27" si="8">L26/O26</f>
        <v>0</v>
      </c>
      <c r="R26" s="19"/>
      <c r="S26" s="19">
        <f t="shared" si="5"/>
        <v>0</v>
      </c>
      <c r="U26" s="18">
        <v>45984.0</v>
      </c>
      <c r="V26" s="19"/>
      <c r="W26" s="19"/>
      <c r="X26" s="19"/>
      <c r="Y26" s="19"/>
      <c r="Z26" s="19"/>
      <c r="AA26" s="19"/>
      <c r="AB26" s="19"/>
      <c r="AD26" s="18">
        <v>45984.0</v>
      </c>
      <c r="AE26" s="19"/>
      <c r="AF26" s="19"/>
      <c r="AG26" s="19"/>
      <c r="AH26" s="19"/>
      <c r="AI26" s="19"/>
      <c r="AJ26" s="19"/>
      <c r="AK26" s="19"/>
      <c r="AM26" s="18">
        <v>45984.0</v>
      </c>
      <c r="AN26" s="19"/>
      <c r="AO26" s="19"/>
      <c r="AP26" s="19"/>
      <c r="AQ26" s="19"/>
      <c r="AR26" s="19"/>
      <c r="AS26" s="19"/>
    </row>
    <row r="27">
      <c r="A27" s="18">
        <v>45985.0</v>
      </c>
      <c r="B27" s="115">
        <v>226.52</v>
      </c>
      <c r="C27" s="113">
        <v>89.0</v>
      </c>
      <c r="D27" s="113">
        <v>45.0</v>
      </c>
      <c r="E27" s="114"/>
      <c r="F27" s="114">
        <f t="shared" si="1"/>
        <v>2.545168539</v>
      </c>
      <c r="G27" s="114"/>
      <c r="H27" s="114">
        <f t="shared" si="2"/>
        <v>50.56179775</v>
      </c>
      <c r="I27" s="19">
        <f t="shared" si="3"/>
        <v>27.1824</v>
      </c>
      <c r="K27" s="18">
        <v>45985.0</v>
      </c>
      <c r="L27" s="114">
        <f>69.36+
19.14+
17.1</f>
        <v>105.6</v>
      </c>
      <c r="M27" s="116">
        <v>43.0</v>
      </c>
      <c r="N27" s="116">
        <v>18.0</v>
      </c>
      <c r="O27" s="116">
        <v>1.0</v>
      </c>
      <c r="P27" s="81">
        <f t="shared" ref="P27:P33" si="9">L27/M27</f>
        <v>2.455813953</v>
      </c>
      <c r="Q27" s="19">
        <f t="shared" si="8"/>
        <v>105.6</v>
      </c>
      <c r="R27" s="19">
        <f t="shared" ref="R27:R33" si="10">N27/M27*100</f>
        <v>41.86046512</v>
      </c>
      <c r="S27" s="19">
        <f t="shared" si="5"/>
        <v>10.56</v>
      </c>
      <c r="U27" s="18">
        <v>45985.0</v>
      </c>
      <c r="V27" s="19"/>
      <c r="W27" s="19"/>
      <c r="X27" s="19"/>
      <c r="Y27" s="19"/>
      <c r="Z27" s="19"/>
      <c r="AA27" s="19"/>
      <c r="AB27" s="19"/>
      <c r="AD27" s="18">
        <v>45985.0</v>
      </c>
      <c r="AE27" s="19"/>
      <c r="AF27" s="19"/>
      <c r="AG27" s="19"/>
      <c r="AH27" s="19"/>
      <c r="AI27" s="19"/>
      <c r="AJ27" s="19"/>
      <c r="AK27" s="19"/>
      <c r="AM27" s="18">
        <v>45985.0</v>
      </c>
      <c r="AN27" s="19"/>
      <c r="AO27" s="19"/>
      <c r="AP27" s="19"/>
      <c r="AQ27" s="19"/>
      <c r="AR27" s="19"/>
      <c r="AS27" s="19"/>
    </row>
    <row r="28">
      <c r="A28" s="18">
        <v>45986.0</v>
      </c>
      <c r="B28" s="115">
        <v>197.43</v>
      </c>
      <c r="C28" s="113">
        <v>74.0</v>
      </c>
      <c r="D28" s="113">
        <v>30.0</v>
      </c>
      <c r="E28" s="113">
        <v>1.0</v>
      </c>
      <c r="F28" s="114">
        <f t="shared" si="1"/>
        <v>2.667972973</v>
      </c>
      <c r="G28" s="114">
        <f t="shared" ref="G28:G32" si="11">B28/E28</f>
        <v>197.43</v>
      </c>
      <c r="H28" s="114">
        <f t="shared" si="2"/>
        <v>40.54054054</v>
      </c>
      <c r="I28" s="19">
        <f t="shared" si="3"/>
        <v>23.6916</v>
      </c>
      <c r="K28" s="18">
        <v>45986.0</v>
      </c>
      <c r="L28" s="114">
        <f>95.65+
22.11+
26.17</f>
        <v>143.93</v>
      </c>
      <c r="M28" s="116">
        <v>49.0</v>
      </c>
      <c r="N28" s="116">
        <v>21.0</v>
      </c>
      <c r="O28" s="115"/>
      <c r="P28" s="81">
        <f t="shared" si="9"/>
        <v>2.937346939</v>
      </c>
      <c r="Q28" s="19"/>
      <c r="R28" s="19">
        <f t="shared" si="10"/>
        <v>42.85714286</v>
      </c>
      <c r="S28" s="19">
        <f t="shared" si="5"/>
        <v>14.393</v>
      </c>
      <c r="U28" s="18">
        <v>45986.0</v>
      </c>
      <c r="V28" s="19"/>
      <c r="W28" s="19"/>
      <c r="X28" s="19"/>
      <c r="Y28" s="19"/>
      <c r="Z28" s="19"/>
      <c r="AA28" s="19"/>
      <c r="AB28" s="19"/>
      <c r="AD28" s="18">
        <v>45986.0</v>
      </c>
      <c r="AE28" s="19"/>
      <c r="AF28" s="19"/>
      <c r="AG28" s="19"/>
      <c r="AH28" s="19"/>
      <c r="AI28" s="19"/>
      <c r="AJ28" s="19"/>
      <c r="AK28" s="19"/>
      <c r="AM28" s="18">
        <v>45986.0</v>
      </c>
      <c r="AN28" s="19"/>
      <c r="AO28" s="19"/>
      <c r="AP28" s="19"/>
      <c r="AQ28" s="19"/>
      <c r="AR28" s="19"/>
      <c r="AS28" s="19"/>
    </row>
    <row r="29">
      <c r="A29" s="18">
        <v>45987.0</v>
      </c>
      <c r="B29" s="115">
        <v>249.19</v>
      </c>
      <c r="C29" s="116">
        <v>97.0</v>
      </c>
      <c r="D29" s="116">
        <v>44.0</v>
      </c>
      <c r="E29" s="116">
        <v>1.0</v>
      </c>
      <c r="F29" s="114">
        <f t="shared" si="1"/>
        <v>2.568969072</v>
      </c>
      <c r="G29" s="114">
        <f t="shared" si="11"/>
        <v>249.19</v>
      </c>
      <c r="H29" s="114">
        <f t="shared" si="2"/>
        <v>45.36082474</v>
      </c>
      <c r="I29" s="19">
        <f t="shared" si="3"/>
        <v>29.9028</v>
      </c>
      <c r="K29" s="18">
        <v>45987.0</v>
      </c>
      <c r="L29" s="115">
        <f>70.74+51.3</f>
        <v>122.04</v>
      </c>
      <c r="M29" s="116">
        <v>106.0</v>
      </c>
      <c r="N29" s="116">
        <v>36.0</v>
      </c>
      <c r="O29" s="116">
        <v>2.0</v>
      </c>
      <c r="P29" s="81">
        <f t="shared" si="9"/>
        <v>1.151320755</v>
      </c>
      <c r="Q29" s="19">
        <f t="shared" ref="Q29:Q33" si="12">L29/O29</f>
        <v>61.02</v>
      </c>
      <c r="R29" s="19">
        <f t="shared" si="10"/>
        <v>33.96226415</v>
      </c>
      <c r="S29" s="19">
        <f t="shared" si="5"/>
        <v>12.204</v>
      </c>
      <c r="U29" s="18">
        <v>45987.0</v>
      </c>
      <c r="V29" s="19"/>
      <c r="W29" s="19"/>
      <c r="X29" s="19"/>
      <c r="Y29" s="19"/>
      <c r="Z29" s="19"/>
      <c r="AA29" s="19"/>
      <c r="AB29" s="19"/>
      <c r="AD29" s="18">
        <v>45987.0</v>
      </c>
      <c r="AE29" s="19"/>
      <c r="AF29" s="19"/>
      <c r="AG29" s="19"/>
      <c r="AH29" s="19"/>
      <c r="AI29" s="19"/>
      <c r="AJ29" s="19"/>
      <c r="AK29" s="19"/>
      <c r="AM29" s="18">
        <v>45987.0</v>
      </c>
      <c r="AN29" s="19"/>
      <c r="AO29" s="19"/>
      <c r="AP29" s="19"/>
      <c r="AQ29" s="19"/>
      <c r="AR29" s="19"/>
      <c r="AS29" s="19"/>
    </row>
    <row r="30">
      <c r="A30" s="18">
        <v>45988.0</v>
      </c>
      <c r="B30" s="115">
        <v>264.74</v>
      </c>
      <c r="C30" s="116">
        <v>98.0</v>
      </c>
      <c r="D30" s="116">
        <v>42.0</v>
      </c>
      <c r="E30" s="116">
        <v>2.0</v>
      </c>
      <c r="F30" s="114">
        <f t="shared" si="1"/>
        <v>2.701428571</v>
      </c>
      <c r="G30" s="114">
        <f t="shared" si="11"/>
        <v>132.37</v>
      </c>
      <c r="H30" s="114">
        <f t="shared" si="2"/>
        <v>42.85714286</v>
      </c>
      <c r="I30" s="19">
        <f t="shared" si="3"/>
        <v>31.7688</v>
      </c>
      <c r="J30" s="110"/>
      <c r="K30" s="18">
        <v>45988.0</v>
      </c>
      <c r="L30" s="114">
        <f>101.61+
27.7+
85.42</f>
        <v>214.73</v>
      </c>
      <c r="M30" s="116">
        <v>85.0</v>
      </c>
      <c r="N30" s="116">
        <v>43.0</v>
      </c>
      <c r="O30" s="116">
        <v>1.0</v>
      </c>
      <c r="P30" s="81">
        <f t="shared" si="9"/>
        <v>2.526235294</v>
      </c>
      <c r="Q30" s="19">
        <f t="shared" si="12"/>
        <v>214.73</v>
      </c>
      <c r="R30" s="19">
        <f t="shared" si="10"/>
        <v>50.58823529</v>
      </c>
      <c r="S30" s="19">
        <f t="shared" si="5"/>
        <v>21.473</v>
      </c>
      <c r="U30" s="18">
        <v>45988.0</v>
      </c>
      <c r="V30" s="19"/>
      <c r="W30" s="19"/>
      <c r="X30" s="19"/>
      <c r="Y30" s="19"/>
      <c r="Z30" s="19"/>
      <c r="AA30" s="19"/>
      <c r="AB30" s="19"/>
      <c r="AD30" s="18">
        <v>45988.0</v>
      </c>
      <c r="AE30" s="19"/>
      <c r="AF30" s="19"/>
      <c r="AG30" s="19"/>
      <c r="AH30" s="19"/>
      <c r="AI30" s="19"/>
      <c r="AJ30" s="19"/>
      <c r="AK30" s="19"/>
      <c r="AM30" s="18">
        <v>45988.0</v>
      </c>
      <c r="AN30" s="19"/>
      <c r="AO30" s="19"/>
      <c r="AP30" s="19"/>
      <c r="AQ30" s="19"/>
      <c r="AR30" s="19"/>
      <c r="AS30" s="19"/>
    </row>
    <row r="31">
      <c r="A31" s="18">
        <v>45989.0</v>
      </c>
      <c r="B31" s="115">
        <v>266.77</v>
      </c>
      <c r="C31" s="116">
        <v>91.0</v>
      </c>
      <c r="D31" s="116">
        <v>48.0</v>
      </c>
      <c r="E31" s="116">
        <v>3.0</v>
      </c>
      <c r="F31" s="114">
        <f t="shared" si="1"/>
        <v>2.931538462</v>
      </c>
      <c r="G31" s="114">
        <f t="shared" si="11"/>
        <v>88.92333333</v>
      </c>
      <c r="H31" s="114">
        <f t="shared" si="2"/>
        <v>52.74725275</v>
      </c>
      <c r="I31" s="19">
        <f t="shared" si="3"/>
        <v>32.0124</v>
      </c>
      <c r="K31" s="18">
        <v>45989.0</v>
      </c>
      <c r="L31" s="114">
        <f>42.3+
64.71+
125.46</f>
        <v>232.47</v>
      </c>
      <c r="M31" s="116">
        <v>93.0</v>
      </c>
      <c r="N31" s="116">
        <v>47.0</v>
      </c>
      <c r="O31" s="116">
        <v>3.0</v>
      </c>
      <c r="P31" s="81">
        <f t="shared" si="9"/>
        <v>2.499677419</v>
      </c>
      <c r="Q31" s="19">
        <f t="shared" si="12"/>
        <v>77.49</v>
      </c>
      <c r="R31" s="19">
        <f t="shared" si="10"/>
        <v>50.53763441</v>
      </c>
      <c r="S31" s="19">
        <f t="shared" si="5"/>
        <v>23.247</v>
      </c>
      <c r="U31" s="18">
        <v>45989.0</v>
      </c>
      <c r="V31" s="19"/>
      <c r="W31" s="19"/>
      <c r="X31" s="19"/>
      <c r="Y31" s="19"/>
      <c r="Z31" s="19"/>
      <c r="AA31" s="19"/>
      <c r="AB31" s="19"/>
      <c r="AD31" s="18">
        <v>45989.0</v>
      </c>
      <c r="AE31" s="19"/>
      <c r="AF31" s="19"/>
      <c r="AG31" s="19"/>
      <c r="AH31" s="19"/>
      <c r="AI31" s="19"/>
      <c r="AJ31" s="19"/>
      <c r="AK31" s="19"/>
      <c r="AM31" s="18">
        <v>45989.0</v>
      </c>
      <c r="AN31" s="19"/>
      <c r="AO31" s="19"/>
      <c r="AP31" s="19"/>
      <c r="AQ31" s="19"/>
      <c r="AR31" s="19"/>
      <c r="AS31" s="19"/>
    </row>
    <row r="32">
      <c r="A32" s="18">
        <v>45990.0</v>
      </c>
      <c r="B32" s="115">
        <v>290.96</v>
      </c>
      <c r="C32" s="113">
        <v>91.0</v>
      </c>
      <c r="D32" s="113">
        <v>40.0</v>
      </c>
      <c r="E32" s="113">
        <v>2.0</v>
      </c>
      <c r="F32" s="114">
        <f t="shared" si="1"/>
        <v>3.197362637</v>
      </c>
      <c r="G32" s="114">
        <f t="shared" si="11"/>
        <v>145.48</v>
      </c>
      <c r="H32" s="114">
        <f t="shared" si="2"/>
        <v>43.95604396</v>
      </c>
      <c r="I32" s="19">
        <f t="shared" si="3"/>
        <v>34.9152</v>
      </c>
      <c r="K32" s="18">
        <v>45990.0</v>
      </c>
      <c r="L32" s="114">
        <f>48.46+
152.16+
74.8</f>
        <v>275.42</v>
      </c>
      <c r="M32" s="113">
        <v>101.0</v>
      </c>
      <c r="N32" s="113">
        <v>46.0</v>
      </c>
      <c r="O32" s="113">
        <v>1.0</v>
      </c>
      <c r="P32" s="81">
        <f t="shared" si="9"/>
        <v>2.726930693</v>
      </c>
      <c r="Q32" s="19">
        <f t="shared" si="12"/>
        <v>275.42</v>
      </c>
      <c r="R32" s="19">
        <f t="shared" si="10"/>
        <v>45.54455446</v>
      </c>
      <c r="S32" s="19">
        <f t="shared" si="5"/>
        <v>27.542</v>
      </c>
      <c r="U32" s="18">
        <v>45990.0</v>
      </c>
      <c r="V32" s="19"/>
      <c r="W32" s="19"/>
      <c r="X32" s="19"/>
      <c r="Y32" s="19"/>
      <c r="Z32" s="19"/>
      <c r="AA32" s="19"/>
      <c r="AB32" s="19"/>
      <c r="AD32" s="18">
        <v>45990.0</v>
      </c>
      <c r="AE32" s="19"/>
      <c r="AF32" s="19"/>
      <c r="AG32" s="19"/>
      <c r="AH32" s="19"/>
      <c r="AI32" s="19"/>
      <c r="AJ32" s="19"/>
      <c r="AK32" s="19"/>
      <c r="AM32" s="18">
        <v>45990.0</v>
      </c>
      <c r="AN32" s="19"/>
      <c r="AO32" s="19"/>
      <c r="AP32" s="19"/>
      <c r="AQ32" s="19"/>
      <c r="AR32" s="19"/>
      <c r="AS32" s="19"/>
    </row>
    <row r="33">
      <c r="A33" s="18">
        <v>45991.0</v>
      </c>
      <c r="B33" s="115">
        <v>339.16</v>
      </c>
      <c r="C33" s="113">
        <v>122.0</v>
      </c>
      <c r="D33" s="113">
        <v>68.0</v>
      </c>
      <c r="E33" s="114"/>
      <c r="F33" s="114">
        <f t="shared" si="1"/>
        <v>2.78</v>
      </c>
      <c r="G33" s="114"/>
      <c r="H33" s="114">
        <f t="shared" si="2"/>
        <v>55.73770492</v>
      </c>
      <c r="I33" s="19">
        <f t="shared" si="3"/>
        <v>40.6992</v>
      </c>
      <c r="K33" s="18">
        <v>45991.0</v>
      </c>
      <c r="L33" s="114">
        <f>149.63+
110.16+
131.01</f>
        <v>390.8</v>
      </c>
      <c r="M33" s="113">
        <v>234.0</v>
      </c>
      <c r="N33" s="113">
        <v>100.0</v>
      </c>
      <c r="O33" s="113">
        <v>2.0</v>
      </c>
      <c r="P33" s="81">
        <f t="shared" si="9"/>
        <v>1.67008547</v>
      </c>
      <c r="Q33" s="19">
        <f t="shared" si="12"/>
        <v>195.4</v>
      </c>
      <c r="R33" s="19">
        <f t="shared" si="10"/>
        <v>42.73504274</v>
      </c>
      <c r="S33" s="19">
        <f t="shared" si="5"/>
        <v>39.08</v>
      </c>
      <c r="U33" s="18">
        <v>45991.0</v>
      </c>
      <c r="V33" s="19"/>
      <c r="W33" s="19"/>
      <c r="X33" s="19"/>
      <c r="Y33" s="19"/>
      <c r="Z33" s="19"/>
      <c r="AA33" s="19"/>
      <c r="AB33" s="19"/>
      <c r="AD33" s="18">
        <v>45991.0</v>
      </c>
      <c r="AE33" s="19"/>
      <c r="AF33" s="19"/>
      <c r="AG33" s="19"/>
      <c r="AH33" s="19"/>
      <c r="AI33" s="19"/>
      <c r="AJ33" s="19"/>
      <c r="AK33" s="19"/>
      <c r="AM33" s="18">
        <v>45991.0</v>
      </c>
      <c r="AN33" s="19"/>
      <c r="AO33" s="19"/>
      <c r="AP33" s="19"/>
      <c r="AQ33" s="19"/>
      <c r="AR33" s="19"/>
      <c r="AS33" s="19"/>
    </row>
    <row r="34">
      <c r="A34" s="18"/>
      <c r="F34" s="114"/>
      <c r="G34" s="114"/>
      <c r="H34" s="114"/>
      <c r="I34" s="19"/>
      <c r="L34" s="121"/>
      <c r="M34" s="121"/>
      <c r="N34" s="121"/>
      <c r="O34" s="121"/>
      <c r="P34" s="81"/>
      <c r="Q34" s="19"/>
      <c r="R34" s="19"/>
      <c r="AK34" s="19"/>
    </row>
    <row r="35">
      <c r="A35" s="35" t="s">
        <v>14</v>
      </c>
      <c r="B35" s="36">
        <f t="shared" ref="B35:E35" si="13">SUM(B4:B33)</f>
        <v>6119.1</v>
      </c>
      <c r="C35" s="36">
        <f t="shared" si="13"/>
        <v>2148</v>
      </c>
      <c r="D35" s="36">
        <f t="shared" si="13"/>
        <v>991</v>
      </c>
      <c r="E35" s="36">
        <f t="shared" si="13"/>
        <v>54</v>
      </c>
      <c r="F35" s="122">
        <f>B35/C35</f>
        <v>2.848743017</v>
      </c>
      <c r="G35" s="122">
        <f>B35/E35</f>
        <v>113.3166667</v>
      </c>
      <c r="H35" s="122">
        <f>D35/C35*100</f>
        <v>46.13594041</v>
      </c>
      <c r="I35" s="19"/>
      <c r="K35" s="35" t="s">
        <v>14</v>
      </c>
      <c r="L35" s="36">
        <f t="shared" ref="L35:O35" si="14">SUM(L4:L33)</f>
        <v>1796.78</v>
      </c>
      <c r="M35" s="36">
        <f t="shared" si="14"/>
        <v>722</v>
      </c>
      <c r="N35" s="36">
        <f t="shared" si="14"/>
        <v>347</v>
      </c>
      <c r="O35" s="36">
        <f t="shared" si="14"/>
        <v>12</v>
      </c>
      <c r="P35" s="123">
        <f>L35/M35</f>
        <v>2.488614958</v>
      </c>
      <c r="Q35" s="36">
        <f>L35/O35</f>
        <v>149.7316667</v>
      </c>
      <c r="R35" s="36">
        <f>N35/M35*100</f>
        <v>48.06094183</v>
      </c>
      <c r="S35" s="124">
        <f>SUM(S14:S33)</f>
        <v>179.678</v>
      </c>
      <c r="U35" s="35" t="s">
        <v>14</v>
      </c>
      <c r="V35" s="36">
        <f t="shared" ref="V35:AA35" si="15">SUM(V4:V33)</f>
        <v>159.42</v>
      </c>
      <c r="W35" s="36">
        <f t="shared" si="15"/>
        <v>0</v>
      </c>
      <c r="X35" s="36">
        <f t="shared" si="15"/>
        <v>0</v>
      </c>
      <c r="Y35" s="36">
        <f t="shared" si="15"/>
        <v>0</v>
      </c>
      <c r="Z35" s="36">
        <f t="shared" si="15"/>
        <v>0</v>
      </c>
      <c r="AA35" s="36">
        <f t="shared" si="15"/>
        <v>0</v>
      </c>
      <c r="AD35" s="35" t="s">
        <v>14</v>
      </c>
      <c r="AE35" s="36">
        <f t="shared" ref="AE35:AJ35" si="16">SUM(AE4:AE33)</f>
        <v>0</v>
      </c>
      <c r="AF35" s="36">
        <f t="shared" si="16"/>
        <v>0</v>
      </c>
      <c r="AG35" s="36">
        <f t="shared" si="16"/>
        <v>0</v>
      </c>
      <c r="AH35" s="36">
        <f t="shared" si="16"/>
        <v>0</v>
      </c>
      <c r="AI35" s="36">
        <f t="shared" si="16"/>
        <v>0</v>
      </c>
      <c r="AJ35" s="36">
        <f t="shared" si="16"/>
        <v>0</v>
      </c>
      <c r="AK35" s="19"/>
      <c r="AM35" s="35" t="s">
        <v>14</v>
      </c>
      <c r="AN35" s="36">
        <f t="shared" ref="AN35:AS35" si="17">SUM(AN4:AN33)</f>
        <v>0</v>
      </c>
      <c r="AO35" s="36">
        <f t="shared" si="17"/>
        <v>0</v>
      </c>
      <c r="AP35" s="36">
        <f t="shared" si="17"/>
        <v>0</v>
      </c>
      <c r="AQ35" s="36">
        <f t="shared" si="17"/>
        <v>0</v>
      </c>
      <c r="AR35" s="36">
        <f t="shared" si="17"/>
        <v>0</v>
      </c>
      <c r="AS35" s="36">
        <f t="shared" si="17"/>
        <v>0</v>
      </c>
    </row>
  </sheetData>
  <mergeCells count="10">
    <mergeCell ref="AD1:AJ1"/>
    <mergeCell ref="AD2:AJ2"/>
    <mergeCell ref="A1:I1"/>
    <mergeCell ref="K1:S1"/>
    <mergeCell ref="U1:AB1"/>
    <mergeCell ref="AM1:AS1"/>
    <mergeCell ref="A2:I2"/>
    <mergeCell ref="K2:S2"/>
    <mergeCell ref="U2:AB2"/>
    <mergeCell ref="AM2:AS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6" max="6" width="18.14"/>
  </cols>
  <sheetData>
    <row r="1">
      <c r="T1" s="43"/>
    </row>
    <row r="2">
      <c r="T2" s="43"/>
    </row>
    <row r="3">
      <c r="A3" s="70" t="s">
        <v>15</v>
      </c>
      <c r="B3" s="2"/>
      <c r="C3" s="2"/>
      <c r="D3" s="2"/>
      <c r="E3" s="2"/>
      <c r="F3" s="2"/>
      <c r="G3" s="2"/>
      <c r="H3" s="3"/>
      <c r="I3" s="19"/>
      <c r="K3" s="70"/>
      <c r="L3" s="2"/>
      <c r="M3" s="2"/>
      <c r="N3" s="2"/>
      <c r="O3" s="2"/>
      <c r="P3" s="2"/>
      <c r="Q3" s="2"/>
      <c r="R3" s="3"/>
      <c r="S3" s="19"/>
      <c r="T3" s="43"/>
      <c r="U3" s="70" t="s">
        <v>20</v>
      </c>
      <c r="V3" s="2"/>
      <c r="W3" s="2"/>
      <c r="X3" s="2"/>
      <c r="Y3" s="2"/>
      <c r="Z3" s="2"/>
      <c r="AA3" s="2"/>
      <c r="AB3" s="3"/>
      <c r="AC3" s="6"/>
    </row>
    <row r="4">
      <c r="A4" s="70">
        <v>7.59443220489882E14</v>
      </c>
      <c r="B4" s="2"/>
      <c r="C4" s="2"/>
      <c r="D4" s="2"/>
      <c r="E4" s="2"/>
      <c r="F4" s="2"/>
      <c r="G4" s="2"/>
      <c r="H4" s="3"/>
      <c r="I4" s="19"/>
      <c r="K4" s="90"/>
      <c r="L4" s="2"/>
      <c r="M4" s="2"/>
      <c r="N4" s="2"/>
      <c r="O4" s="2"/>
      <c r="P4" s="2"/>
      <c r="Q4" s="2"/>
      <c r="R4" s="3"/>
      <c r="S4" s="19"/>
      <c r="T4" s="43"/>
      <c r="U4" s="70" t="s">
        <v>21</v>
      </c>
      <c r="V4" s="2"/>
      <c r="W4" s="2"/>
      <c r="X4" s="2"/>
      <c r="Y4" s="2"/>
      <c r="Z4" s="2"/>
      <c r="AA4" s="2"/>
      <c r="AB4" s="3"/>
      <c r="AC4" s="6"/>
    </row>
    <row r="5">
      <c r="A5" s="9" t="s">
        <v>3</v>
      </c>
      <c r="B5" s="9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10</v>
      </c>
      <c r="H5" s="10" t="s">
        <v>9</v>
      </c>
      <c r="I5" s="125" t="s">
        <v>11</v>
      </c>
      <c r="J5" s="126"/>
      <c r="K5" s="9" t="s">
        <v>3</v>
      </c>
      <c r="L5" s="9" t="s">
        <v>4</v>
      </c>
      <c r="M5" s="10" t="s">
        <v>5</v>
      </c>
      <c r="N5" s="10" t="s">
        <v>6</v>
      </c>
      <c r="O5" s="10" t="s">
        <v>7</v>
      </c>
      <c r="P5" s="10" t="s">
        <v>8</v>
      </c>
      <c r="Q5" s="10" t="s">
        <v>10</v>
      </c>
      <c r="R5" s="10" t="s">
        <v>9</v>
      </c>
      <c r="S5" s="45" t="s">
        <v>11</v>
      </c>
      <c r="T5" s="43"/>
      <c r="U5" s="9" t="s">
        <v>3</v>
      </c>
      <c r="V5" s="9" t="s">
        <v>4</v>
      </c>
      <c r="W5" s="10" t="s">
        <v>5</v>
      </c>
      <c r="X5" s="10" t="s">
        <v>6</v>
      </c>
      <c r="Y5" s="10" t="s">
        <v>7</v>
      </c>
      <c r="Z5" s="10" t="s">
        <v>8</v>
      </c>
      <c r="AA5" s="10" t="s">
        <v>10</v>
      </c>
      <c r="AB5" s="10" t="s">
        <v>9</v>
      </c>
      <c r="AC5" s="17"/>
    </row>
    <row r="6">
      <c r="A6" s="18">
        <v>45962.0</v>
      </c>
      <c r="B6" s="19"/>
      <c r="C6" s="19"/>
      <c r="D6" s="19"/>
      <c r="E6" s="19"/>
      <c r="F6" s="19"/>
      <c r="G6" s="19"/>
      <c r="H6" s="19"/>
      <c r="I6" s="19"/>
      <c r="K6" s="18">
        <v>45962.0</v>
      </c>
      <c r="L6" s="19"/>
      <c r="M6" s="19"/>
      <c r="N6" s="19"/>
      <c r="O6" s="19"/>
      <c r="P6" s="19"/>
      <c r="Q6" s="19"/>
      <c r="R6" s="19"/>
      <c r="S6" s="19"/>
      <c r="T6" s="43"/>
      <c r="U6" s="18">
        <v>45962.0</v>
      </c>
      <c r="V6" s="19"/>
      <c r="W6" s="19"/>
      <c r="X6" s="19"/>
      <c r="Y6" s="19"/>
      <c r="Z6" s="19"/>
      <c r="AA6" s="19"/>
      <c r="AB6" s="19"/>
    </row>
    <row r="7">
      <c r="A7" s="18">
        <v>45963.0</v>
      </c>
      <c r="B7" s="19"/>
      <c r="C7" s="19"/>
      <c r="D7" s="19"/>
      <c r="E7" s="19"/>
      <c r="F7" s="19"/>
      <c r="G7" s="19"/>
      <c r="H7" s="19"/>
      <c r="I7" s="19"/>
      <c r="K7" s="18">
        <v>45963.0</v>
      </c>
      <c r="L7" s="19"/>
      <c r="M7" s="19"/>
      <c r="N7" s="19"/>
      <c r="O7" s="19"/>
      <c r="P7" s="19"/>
      <c r="Q7" s="19"/>
      <c r="R7" s="19"/>
      <c r="S7" s="19"/>
      <c r="T7" s="43"/>
      <c r="U7" s="18">
        <v>45963.0</v>
      </c>
      <c r="V7" s="19"/>
      <c r="W7" s="19"/>
      <c r="X7" s="19"/>
      <c r="Y7" s="19"/>
      <c r="Z7" s="19"/>
      <c r="AA7" s="19"/>
      <c r="AB7" s="19"/>
    </row>
    <row r="8">
      <c r="A8" s="18">
        <v>45964.0</v>
      </c>
      <c r="B8" s="19"/>
      <c r="C8" s="19"/>
      <c r="D8" s="19"/>
      <c r="E8" s="19"/>
      <c r="F8" s="19"/>
      <c r="G8" s="19"/>
      <c r="H8" s="19"/>
      <c r="I8" s="19"/>
      <c r="K8" s="18">
        <v>45964.0</v>
      </c>
      <c r="L8" s="19"/>
      <c r="M8" s="19"/>
      <c r="N8" s="19"/>
      <c r="O8" s="19"/>
      <c r="P8" s="19"/>
      <c r="Q8" s="19"/>
      <c r="R8" s="19"/>
      <c r="S8" s="19"/>
      <c r="T8" s="43"/>
      <c r="U8" s="18">
        <v>45964.0</v>
      </c>
      <c r="V8" s="19"/>
      <c r="W8" s="19"/>
      <c r="X8" s="19"/>
      <c r="Y8" s="19"/>
      <c r="Z8" s="19"/>
      <c r="AA8" s="19"/>
      <c r="AB8" s="19"/>
    </row>
    <row r="9">
      <c r="A9" s="18">
        <v>45965.0</v>
      </c>
      <c r="B9" s="19"/>
      <c r="C9" s="19"/>
      <c r="D9" s="19"/>
      <c r="E9" s="19"/>
      <c r="F9" s="19"/>
      <c r="G9" s="19"/>
      <c r="H9" s="19"/>
      <c r="I9" s="19"/>
      <c r="K9" s="18">
        <v>45965.0</v>
      </c>
      <c r="L9" s="19"/>
      <c r="M9" s="19"/>
      <c r="N9" s="19"/>
      <c r="O9" s="19"/>
      <c r="P9" s="19"/>
      <c r="Q9" s="19"/>
      <c r="R9" s="19"/>
      <c r="S9" s="19"/>
      <c r="T9" s="43"/>
      <c r="U9" s="18">
        <v>45965.0</v>
      </c>
      <c r="V9" s="19"/>
      <c r="W9" s="19"/>
      <c r="X9" s="19"/>
      <c r="Y9" s="19"/>
      <c r="Z9" s="19"/>
      <c r="AA9" s="19"/>
      <c r="AB9" s="19"/>
    </row>
    <row r="10">
      <c r="A10" s="18">
        <v>45966.0</v>
      </c>
      <c r="B10" s="19"/>
      <c r="C10" s="19"/>
      <c r="D10" s="19"/>
      <c r="E10" s="19"/>
      <c r="F10" s="19"/>
      <c r="G10" s="19"/>
      <c r="H10" s="19"/>
      <c r="I10" s="19"/>
      <c r="K10" s="18">
        <v>45966.0</v>
      </c>
      <c r="L10" s="19"/>
      <c r="M10" s="19"/>
      <c r="N10" s="19"/>
      <c r="O10" s="19"/>
      <c r="P10" s="19"/>
      <c r="Q10" s="19"/>
      <c r="R10" s="19"/>
      <c r="S10" s="19"/>
      <c r="T10" s="43"/>
      <c r="U10" s="18">
        <v>45966.0</v>
      </c>
      <c r="V10" s="19"/>
      <c r="W10" s="19"/>
      <c r="X10" s="19"/>
      <c r="Y10" s="19"/>
      <c r="Z10" s="19"/>
      <c r="AA10" s="19"/>
      <c r="AB10" s="19"/>
    </row>
    <row r="11">
      <c r="A11" s="18">
        <v>45967.0</v>
      </c>
      <c r="B11" s="19"/>
      <c r="C11" s="19"/>
      <c r="D11" s="19"/>
      <c r="E11" s="19"/>
      <c r="F11" s="19"/>
      <c r="G11" s="19"/>
      <c r="H11" s="19"/>
      <c r="I11" s="19"/>
      <c r="K11" s="18">
        <v>45967.0</v>
      </c>
      <c r="L11" s="19"/>
      <c r="M11" s="19"/>
      <c r="N11" s="19"/>
      <c r="O11" s="19"/>
      <c r="P11" s="19"/>
      <c r="Q11" s="19"/>
      <c r="R11" s="19"/>
      <c r="S11" s="19"/>
      <c r="T11" s="43"/>
      <c r="U11" s="18">
        <v>45967.0</v>
      </c>
      <c r="V11" s="19"/>
      <c r="W11" s="19"/>
      <c r="X11" s="19"/>
      <c r="Y11" s="19"/>
      <c r="Z11" s="19"/>
      <c r="AA11" s="19"/>
      <c r="AB11" s="19"/>
    </row>
    <row r="12">
      <c r="A12" s="18">
        <v>45968.0</v>
      </c>
      <c r="B12" s="19"/>
      <c r="C12" s="19"/>
      <c r="D12" s="19"/>
      <c r="E12" s="19"/>
      <c r="F12" s="19"/>
      <c r="G12" s="19"/>
      <c r="H12" s="19"/>
      <c r="I12" s="19"/>
      <c r="K12" s="18">
        <v>45968.0</v>
      </c>
      <c r="L12" s="19"/>
      <c r="M12" s="19"/>
      <c r="N12" s="19"/>
      <c r="O12" s="19"/>
      <c r="P12" s="19"/>
      <c r="Q12" s="19"/>
      <c r="R12" s="19"/>
      <c r="S12" s="19"/>
      <c r="T12" s="43"/>
      <c r="U12" s="18">
        <v>45968.0</v>
      </c>
      <c r="V12" s="19"/>
      <c r="W12" s="19"/>
      <c r="X12" s="19"/>
      <c r="Y12" s="19"/>
      <c r="Z12" s="19"/>
      <c r="AA12" s="19"/>
      <c r="AB12" s="19"/>
    </row>
    <row r="13">
      <c r="A13" s="18">
        <v>45969.0</v>
      </c>
      <c r="B13" s="19"/>
      <c r="C13" s="19"/>
      <c r="D13" s="19"/>
      <c r="E13" s="19"/>
      <c r="F13" s="19"/>
      <c r="G13" s="19"/>
      <c r="H13" s="19"/>
      <c r="I13" s="19"/>
      <c r="K13" s="18">
        <v>45969.0</v>
      </c>
      <c r="L13" s="19"/>
      <c r="M13" s="19"/>
      <c r="N13" s="19"/>
      <c r="O13" s="19"/>
      <c r="P13" s="19"/>
      <c r="Q13" s="19"/>
      <c r="R13" s="19"/>
      <c r="S13" s="19"/>
      <c r="T13" s="43"/>
      <c r="U13" s="18">
        <v>45969.0</v>
      </c>
      <c r="V13" s="19"/>
      <c r="W13" s="19"/>
      <c r="X13" s="19"/>
      <c r="Y13" s="19"/>
      <c r="Z13" s="19"/>
      <c r="AA13" s="19"/>
      <c r="AB13" s="19"/>
    </row>
    <row r="14">
      <c r="A14" s="18">
        <v>45970.0</v>
      </c>
      <c r="B14" s="19"/>
      <c r="C14" s="19"/>
      <c r="D14" s="19"/>
      <c r="E14" s="19"/>
      <c r="F14" s="19"/>
      <c r="G14" s="19"/>
      <c r="H14" s="19"/>
      <c r="I14" s="19"/>
      <c r="K14" s="18">
        <v>45970.0</v>
      </c>
      <c r="L14" s="19"/>
      <c r="M14" s="19"/>
      <c r="N14" s="19"/>
      <c r="O14" s="19"/>
      <c r="P14" s="19"/>
      <c r="Q14" s="19"/>
      <c r="R14" s="19"/>
      <c r="S14" s="19"/>
      <c r="T14" s="43"/>
      <c r="U14" s="18">
        <v>45970.0</v>
      </c>
      <c r="V14" s="19"/>
      <c r="W14" s="19"/>
      <c r="X14" s="19"/>
      <c r="Y14" s="19"/>
      <c r="Z14" s="19"/>
      <c r="AA14" s="19"/>
      <c r="AB14" s="19"/>
    </row>
    <row r="15">
      <c r="A15" s="18">
        <v>45971.0</v>
      </c>
      <c r="B15" s="19"/>
      <c r="C15" s="19"/>
      <c r="D15" s="19"/>
      <c r="E15" s="19"/>
      <c r="F15" s="19"/>
      <c r="G15" s="19"/>
      <c r="H15" s="19"/>
      <c r="I15" s="19"/>
      <c r="K15" s="18">
        <v>45971.0</v>
      </c>
      <c r="L15" s="19"/>
      <c r="M15" s="19"/>
      <c r="N15" s="19"/>
      <c r="O15" s="19"/>
      <c r="P15" s="19"/>
      <c r="Q15" s="19"/>
      <c r="R15" s="19"/>
      <c r="S15" s="19"/>
      <c r="T15" s="43"/>
      <c r="U15" s="18">
        <v>45971.0</v>
      </c>
      <c r="V15" s="19"/>
      <c r="W15" s="19"/>
      <c r="X15" s="19"/>
      <c r="Y15" s="19"/>
      <c r="Z15" s="19"/>
      <c r="AA15" s="19"/>
      <c r="AB15" s="19"/>
    </row>
    <row r="16">
      <c r="A16" s="18">
        <v>45972.0</v>
      </c>
      <c r="B16" s="19"/>
      <c r="C16" s="19"/>
      <c r="D16" s="19"/>
      <c r="E16" s="19"/>
      <c r="F16" s="19"/>
      <c r="G16" s="19"/>
      <c r="H16" s="19"/>
      <c r="I16" s="19"/>
      <c r="K16" s="18">
        <v>45972.0</v>
      </c>
      <c r="L16" s="19"/>
      <c r="M16" s="19"/>
      <c r="N16" s="19"/>
      <c r="O16" s="19"/>
      <c r="P16" s="19"/>
      <c r="Q16" s="19"/>
      <c r="R16" s="19"/>
      <c r="S16" s="19"/>
      <c r="T16" s="43"/>
      <c r="U16" s="18">
        <v>45972.0</v>
      </c>
      <c r="V16" s="19"/>
      <c r="W16" s="19"/>
      <c r="X16" s="19"/>
      <c r="Y16" s="19"/>
      <c r="Z16" s="19"/>
      <c r="AA16" s="19"/>
      <c r="AB16" s="19"/>
    </row>
    <row r="17">
      <c r="A17" s="18">
        <v>45973.0</v>
      </c>
      <c r="B17" s="19"/>
      <c r="C17" s="19"/>
      <c r="D17" s="19"/>
      <c r="E17" s="19"/>
      <c r="F17" s="19"/>
      <c r="G17" s="19"/>
      <c r="H17" s="19"/>
      <c r="I17" s="19"/>
      <c r="K17" s="18">
        <v>45973.0</v>
      </c>
      <c r="L17" s="19"/>
      <c r="M17" s="19"/>
      <c r="N17" s="19"/>
      <c r="O17" s="19"/>
      <c r="P17" s="19"/>
      <c r="Q17" s="19"/>
      <c r="R17" s="19"/>
      <c r="S17" s="19"/>
      <c r="T17" s="43"/>
      <c r="U17" s="18">
        <v>45973.0</v>
      </c>
      <c r="V17" s="19"/>
      <c r="W17" s="19"/>
      <c r="X17" s="19"/>
      <c r="Y17" s="19"/>
      <c r="Z17" s="19"/>
      <c r="AA17" s="19"/>
      <c r="AB17" s="19"/>
    </row>
    <row r="18">
      <c r="A18" s="18">
        <v>45974.0</v>
      </c>
      <c r="B18" s="19"/>
      <c r="C18" s="19"/>
      <c r="D18" s="19"/>
      <c r="E18" s="19"/>
      <c r="F18" s="19"/>
      <c r="G18" s="19"/>
      <c r="H18" s="19"/>
      <c r="I18" s="19"/>
      <c r="K18" s="18">
        <v>45974.0</v>
      </c>
      <c r="L18" s="19"/>
      <c r="M18" s="19"/>
      <c r="N18" s="19"/>
      <c r="O18" s="19"/>
      <c r="P18" s="19"/>
      <c r="Q18" s="19"/>
      <c r="R18" s="19"/>
      <c r="S18" s="19"/>
      <c r="T18" s="43"/>
      <c r="U18" s="18">
        <v>45974.0</v>
      </c>
      <c r="V18" s="19"/>
      <c r="W18" s="19"/>
      <c r="X18" s="19"/>
      <c r="Y18" s="19"/>
      <c r="Z18" s="19"/>
      <c r="AA18" s="19"/>
      <c r="AB18" s="19"/>
    </row>
    <row r="19">
      <c r="A19" s="18">
        <v>45975.0</v>
      </c>
      <c r="B19" s="19"/>
      <c r="C19" s="19"/>
      <c r="D19" s="19"/>
      <c r="E19" s="19"/>
      <c r="F19" s="19"/>
      <c r="G19" s="19"/>
      <c r="H19" s="19"/>
      <c r="I19" s="19"/>
      <c r="K19" s="18">
        <v>45975.0</v>
      </c>
      <c r="L19" s="19"/>
      <c r="M19" s="19"/>
      <c r="N19" s="19"/>
      <c r="O19" s="19"/>
      <c r="P19" s="19"/>
      <c r="Q19" s="19"/>
      <c r="R19" s="19"/>
      <c r="S19" s="19"/>
      <c r="T19" s="43"/>
      <c r="U19" s="18">
        <v>45975.0</v>
      </c>
      <c r="V19" s="19"/>
      <c r="W19" s="19"/>
      <c r="X19" s="19"/>
      <c r="Y19" s="19"/>
      <c r="Z19" s="19"/>
      <c r="AA19" s="19"/>
      <c r="AB19" s="19"/>
    </row>
    <row r="20">
      <c r="A20" s="18">
        <v>45976.0</v>
      </c>
      <c r="B20" s="19"/>
      <c r="C20" s="19"/>
      <c r="D20" s="19"/>
      <c r="E20" s="19"/>
      <c r="F20" s="19"/>
      <c r="G20" s="19"/>
      <c r="H20" s="19"/>
      <c r="I20" s="19"/>
      <c r="K20" s="18">
        <v>45976.0</v>
      </c>
      <c r="L20" s="19"/>
      <c r="M20" s="19"/>
      <c r="N20" s="19"/>
      <c r="O20" s="19"/>
      <c r="P20" s="19"/>
      <c r="Q20" s="19"/>
      <c r="R20" s="19"/>
      <c r="S20" s="19"/>
      <c r="T20" s="43"/>
      <c r="U20" s="18">
        <v>45976.0</v>
      </c>
      <c r="V20" s="19"/>
      <c r="W20" s="19"/>
      <c r="X20" s="19"/>
      <c r="Y20" s="19"/>
      <c r="Z20" s="19"/>
      <c r="AA20" s="19"/>
      <c r="AB20" s="19"/>
    </row>
    <row r="21">
      <c r="A21" s="18">
        <v>45977.0</v>
      </c>
      <c r="B21" s="19"/>
      <c r="C21" s="19"/>
      <c r="D21" s="19"/>
      <c r="E21" s="19"/>
      <c r="F21" s="19"/>
      <c r="G21" s="19"/>
      <c r="H21" s="19"/>
      <c r="I21" s="19"/>
      <c r="K21" s="18">
        <v>45977.0</v>
      </c>
      <c r="L21" s="19"/>
      <c r="M21" s="19"/>
      <c r="N21" s="19"/>
      <c r="O21" s="19"/>
      <c r="P21" s="19"/>
      <c r="Q21" s="19"/>
      <c r="R21" s="19"/>
      <c r="S21" s="19"/>
      <c r="T21" s="43"/>
      <c r="U21" s="18">
        <v>45977.0</v>
      </c>
      <c r="V21" s="19"/>
      <c r="W21" s="19"/>
      <c r="X21" s="19"/>
      <c r="Y21" s="19"/>
      <c r="Z21" s="19"/>
      <c r="AA21" s="19"/>
      <c r="AB21" s="19"/>
    </row>
    <row r="22">
      <c r="A22" s="18">
        <v>45978.0</v>
      </c>
      <c r="B22" s="19"/>
      <c r="C22" s="19"/>
      <c r="D22" s="19"/>
      <c r="E22" s="19"/>
      <c r="F22" s="19"/>
      <c r="G22" s="19"/>
      <c r="H22" s="19"/>
      <c r="I22" s="19"/>
      <c r="K22" s="18">
        <v>45978.0</v>
      </c>
      <c r="L22" s="19"/>
      <c r="M22" s="19"/>
      <c r="N22" s="19"/>
      <c r="O22" s="19"/>
      <c r="P22" s="19"/>
      <c r="Q22" s="19"/>
      <c r="R22" s="19"/>
      <c r="S22" s="19"/>
      <c r="T22" s="43"/>
      <c r="U22" s="18">
        <v>45978.0</v>
      </c>
      <c r="V22" s="19"/>
      <c r="W22" s="19"/>
      <c r="X22" s="19"/>
      <c r="Y22" s="19"/>
      <c r="Z22" s="19"/>
      <c r="AA22" s="19"/>
      <c r="AB22" s="19"/>
    </row>
    <row r="23">
      <c r="A23" s="18">
        <v>45979.0</v>
      </c>
      <c r="B23" s="19"/>
      <c r="C23" s="19"/>
      <c r="D23" s="19"/>
      <c r="E23" s="19"/>
      <c r="F23" s="19"/>
      <c r="G23" s="19"/>
      <c r="H23" s="19"/>
      <c r="I23" s="19"/>
      <c r="K23" s="18">
        <v>45979.0</v>
      </c>
      <c r="L23" s="19"/>
      <c r="M23" s="19"/>
      <c r="N23" s="19"/>
      <c r="O23" s="19"/>
      <c r="P23" s="19"/>
      <c r="Q23" s="19"/>
      <c r="R23" s="19"/>
      <c r="S23" s="19"/>
      <c r="T23" s="43"/>
      <c r="U23" s="18">
        <v>45979.0</v>
      </c>
      <c r="V23" s="19"/>
      <c r="W23" s="19"/>
      <c r="X23" s="19"/>
      <c r="Y23" s="19"/>
      <c r="Z23" s="19"/>
      <c r="AA23" s="19"/>
      <c r="AB23" s="19"/>
    </row>
    <row r="24">
      <c r="A24" s="18">
        <v>45980.0</v>
      </c>
      <c r="B24" s="19"/>
      <c r="C24" s="19"/>
      <c r="D24" s="19"/>
      <c r="E24" s="19"/>
      <c r="F24" s="19"/>
      <c r="G24" s="19"/>
      <c r="H24" s="19"/>
      <c r="I24" s="19"/>
      <c r="K24" s="18">
        <v>45980.0</v>
      </c>
      <c r="L24" s="19"/>
      <c r="M24" s="19"/>
      <c r="N24" s="19"/>
      <c r="O24" s="19"/>
      <c r="P24" s="19"/>
      <c r="Q24" s="19"/>
      <c r="R24" s="19"/>
      <c r="S24" s="19"/>
      <c r="T24" s="43"/>
      <c r="U24" s="18">
        <v>45980.0</v>
      </c>
      <c r="V24" s="19"/>
      <c r="W24" s="19"/>
      <c r="X24" s="19"/>
      <c r="Y24" s="19"/>
      <c r="Z24" s="19"/>
      <c r="AA24" s="19"/>
      <c r="AB24" s="19"/>
    </row>
    <row r="25">
      <c r="A25" s="18">
        <v>45981.0</v>
      </c>
      <c r="B25" s="19"/>
      <c r="C25" s="19"/>
      <c r="D25" s="19"/>
      <c r="E25" s="19"/>
      <c r="F25" s="19"/>
      <c r="G25" s="19"/>
      <c r="H25" s="19"/>
      <c r="I25" s="19"/>
      <c r="K25" s="18">
        <v>45981.0</v>
      </c>
      <c r="L25" s="19"/>
      <c r="M25" s="19"/>
      <c r="N25" s="19"/>
      <c r="O25" s="19"/>
      <c r="P25" s="19"/>
      <c r="Q25" s="19"/>
      <c r="R25" s="19"/>
      <c r="S25" s="19"/>
      <c r="T25" s="43"/>
      <c r="U25" s="18">
        <v>45981.0</v>
      </c>
      <c r="V25" s="19"/>
      <c r="W25" s="19"/>
      <c r="X25" s="19"/>
      <c r="Y25" s="19"/>
      <c r="Z25" s="19"/>
      <c r="AA25" s="19"/>
      <c r="AB25" s="19"/>
    </row>
    <row r="26">
      <c r="A26" s="18">
        <v>45982.0</v>
      </c>
      <c r="B26" s="19"/>
      <c r="C26" s="19"/>
      <c r="D26" s="19"/>
      <c r="E26" s="19"/>
      <c r="F26" s="19"/>
      <c r="G26" s="19"/>
      <c r="H26" s="19"/>
      <c r="I26" s="19"/>
      <c r="K26" s="18">
        <v>45982.0</v>
      </c>
      <c r="L26" s="19"/>
      <c r="M26" s="19"/>
      <c r="N26" s="19"/>
      <c r="O26" s="19"/>
      <c r="P26" s="19"/>
      <c r="Q26" s="19"/>
      <c r="R26" s="19"/>
      <c r="S26" s="19"/>
      <c r="T26" s="43"/>
      <c r="U26" s="18">
        <v>45982.0</v>
      </c>
      <c r="V26" s="19"/>
      <c r="W26" s="19"/>
      <c r="X26" s="19"/>
      <c r="Y26" s="19"/>
      <c r="Z26" s="19"/>
      <c r="AA26" s="19"/>
      <c r="AB26" s="19"/>
    </row>
    <row r="27">
      <c r="A27" s="18">
        <v>45983.0</v>
      </c>
      <c r="B27" s="19"/>
      <c r="C27" s="19"/>
      <c r="D27" s="19"/>
      <c r="E27" s="19"/>
      <c r="F27" s="19"/>
      <c r="G27" s="19"/>
      <c r="H27" s="19"/>
      <c r="I27" s="19"/>
      <c r="K27" s="18">
        <v>45983.0</v>
      </c>
      <c r="L27" s="19"/>
      <c r="M27" s="19"/>
      <c r="N27" s="19"/>
      <c r="O27" s="19"/>
      <c r="P27" s="19"/>
      <c r="Q27" s="19"/>
      <c r="R27" s="19"/>
      <c r="S27" s="19"/>
      <c r="T27" s="43"/>
      <c r="U27" s="18">
        <v>45983.0</v>
      </c>
      <c r="V27" s="19"/>
      <c r="W27" s="19"/>
      <c r="X27" s="19"/>
      <c r="Y27" s="19"/>
      <c r="Z27" s="19"/>
      <c r="AA27" s="19"/>
      <c r="AB27" s="19"/>
    </row>
    <row r="28">
      <c r="A28" s="18">
        <v>45984.0</v>
      </c>
      <c r="B28" s="19"/>
      <c r="C28" s="19"/>
      <c r="D28" s="19"/>
      <c r="E28" s="19"/>
      <c r="F28" s="19"/>
      <c r="G28" s="19"/>
      <c r="H28" s="19"/>
      <c r="I28" s="19"/>
      <c r="K28" s="18">
        <v>45984.0</v>
      </c>
      <c r="L28" s="19"/>
      <c r="M28" s="19"/>
      <c r="N28" s="19"/>
      <c r="O28" s="19"/>
      <c r="P28" s="19"/>
      <c r="Q28" s="19"/>
      <c r="R28" s="19"/>
      <c r="S28" s="19"/>
      <c r="T28" s="43"/>
      <c r="U28" s="18">
        <v>45984.0</v>
      </c>
      <c r="V28" s="19"/>
      <c r="W28" s="19"/>
      <c r="X28" s="19"/>
      <c r="Y28" s="19"/>
      <c r="Z28" s="19"/>
      <c r="AA28" s="19"/>
      <c r="AB28" s="19"/>
    </row>
    <row r="29">
      <c r="A29" s="18">
        <v>45985.0</v>
      </c>
      <c r="B29" s="33">
        <f>18+49</f>
        <v>67</v>
      </c>
      <c r="C29" s="19"/>
      <c r="D29" s="19"/>
      <c r="E29" s="19"/>
      <c r="F29" s="19"/>
      <c r="G29" s="19"/>
      <c r="H29" s="19"/>
      <c r="I29" s="19"/>
      <c r="K29" s="18">
        <v>45985.0</v>
      </c>
      <c r="L29" s="33"/>
      <c r="M29" s="19"/>
      <c r="N29" s="19"/>
      <c r="O29" s="19"/>
      <c r="P29" s="19"/>
      <c r="Q29" s="19"/>
      <c r="R29" s="19"/>
      <c r="S29" s="19"/>
      <c r="T29" s="43"/>
      <c r="U29" s="18">
        <v>45985.0</v>
      </c>
      <c r="V29" s="19"/>
      <c r="W29" s="19"/>
      <c r="X29" s="19"/>
      <c r="Y29" s="19"/>
      <c r="Z29" s="19"/>
      <c r="AA29" s="19"/>
      <c r="AB29" s="19"/>
    </row>
    <row r="30">
      <c r="A30" s="18">
        <v>45986.0</v>
      </c>
      <c r="B30" s="33">
        <v>94.0</v>
      </c>
      <c r="C30" s="33">
        <v>20.0</v>
      </c>
      <c r="D30" s="33">
        <v>8.0</v>
      </c>
      <c r="E30" s="19"/>
      <c r="F30" s="19"/>
      <c r="G30" s="19"/>
      <c r="H30" s="19"/>
      <c r="I30" s="19"/>
      <c r="K30" s="18">
        <v>45986.0</v>
      </c>
      <c r="L30" s="33"/>
      <c r="M30" s="33"/>
      <c r="N30" s="33"/>
      <c r="O30" s="19"/>
      <c r="P30" s="19"/>
      <c r="Q30" s="19"/>
      <c r="R30" s="19"/>
      <c r="S30" s="19"/>
      <c r="T30" s="43"/>
      <c r="U30" s="18">
        <v>45986.0</v>
      </c>
      <c r="V30" s="19"/>
      <c r="W30" s="19"/>
      <c r="X30" s="19"/>
      <c r="Y30" s="19"/>
      <c r="Z30" s="19"/>
      <c r="AA30" s="19"/>
      <c r="AB30" s="19"/>
    </row>
    <row r="31">
      <c r="A31" s="18">
        <v>45987.0</v>
      </c>
      <c r="B31" s="33">
        <f>7+99</f>
        <v>106</v>
      </c>
      <c r="C31" s="33">
        <v>26.0</v>
      </c>
      <c r="D31" s="33">
        <v>15.0</v>
      </c>
      <c r="E31" s="33">
        <v>1.0</v>
      </c>
      <c r="F31" s="19"/>
      <c r="G31" s="19"/>
      <c r="H31" s="19"/>
      <c r="I31" s="19"/>
      <c r="K31" s="18">
        <v>45987.0</v>
      </c>
      <c r="L31" s="33"/>
      <c r="M31" s="33"/>
      <c r="N31" s="33"/>
      <c r="O31" s="33"/>
      <c r="P31" s="19"/>
      <c r="Q31" s="19"/>
      <c r="R31" s="19"/>
      <c r="S31" s="19"/>
      <c r="T31" s="43"/>
      <c r="U31" s="18">
        <v>45987.0</v>
      </c>
      <c r="V31" s="19"/>
      <c r="W31" s="19"/>
      <c r="X31" s="19"/>
      <c r="Y31" s="19"/>
      <c r="Z31" s="19"/>
      <c r="AA31" s="19"/>
      <c r="AB31" s="19"/>
    </row>
    <row r="32">
      <c r="A32" s="18">
        <v>45988.0</v>
      </c>
      <c r="B32" s="33">
        <v>100.0</v>
      </c>
      <c r="C32" s="19"/>
      <c r="D32" s="19"/>
      <c r="E32" s="19"/>
      <c r="F32" s="19"/>
      <c r="G32" s="19"/>
      <c r="H32" s="19"/>
      <c r="I32" s="19"/>
      <c r="K32" s="18">
        <v>45988.0</v>
      </c>
      <c r="L32" s="19"/>
      <c r="M32" s="19"/>
      <c r="N32" s="19"/>
      <c r="O32" s="19"/>
      <c r="P32" s="19"/>
      <c r="Q32" s="19"/>
      <c r="R32" s="19"/>
      <c r="S32" s="19"/>
      <c r="T32" s="43"/>
      <c r="U32" s="18">
        <v>45988.0</v>
      </c>
      <c r="V32" s="19"/>
      <c r="W32" s="19"/>
      <c r="X32" s="19"/>
      <c r="Y32" s="19"/>
      <c r="Z32" s="19"/>
      <c r="AA32" s="19"/>
      <c r="AB32" s="19"/>
    </row>
    <row r="33">
      <c r="A33" s="18">
        <v>45989.0</v>
      </c>
      <c r="B33" s="33">
        <v>182.0</v>
      </c>
      <c r="C33" s="19"/>
      <c r="D33" s="19"/>
      <c r="E33" s="19"/>
      <c r="F33" s="19"/>
      <c r="G33" s="19"/>
      <c r="H33" s="19"/>
      <c r="I33" s="19"/>
      <c r="K33" s="18">
        <v>45989.0</v>
      </c>
      <c r="L33" s="19"/>
      <c r="M33" s="19"/>
      <c r="N33" s="19"/>
      <c r="O33" s="19"/>
      <c r="P33" s="19"/>
      <c r="Q33" s="19"/>
      <c r="R33" s="19"/>
      <c r="S33" s="19"/>
      <c r="T33" s="43"/>
      <c r="U33" s="18">
        <v>45989.0</v>
      </c>
      <c r="V33" s="19"/>
      <c r="W33" s="19"/>
      <c r="X33" s="19"/>
      <c r="Y33" s="19"/>
      <c r="Z33" s="19"/>
      <c r="AA33" s="19"/>
      <c r="AB33" s="19"/>
    </row>
    <row r="34">
      <c r="A34" s="18">
        <v>45990.0</v>
      </c>
      <c r="B34" s="33">
        <v>113.0</v>
      </c>
      <c r="C34" s="19"/>
      <c r="D34" s="19"/>
      <c r="E34" s="19"/>
      <c r="F34" s="19"/>
      <c r="G34" s="19"/>
      <c r="H34" s="19"/>
      <c r="I34" s="19"/>
      <c r="K34" s="18">
        <v>45990.0</v>
      </c>
      <c r="L34" s="19"/>
      <c r="M34" s="19"/>
      <c r="N34" s="19"/>
      <c r="O34" s="19"/>
      <c r="P34" s="19"/>
      <c r="Q34" s="19"/>
      <c r="R34" s="19"/>
      <c r="S34" s="19"/>
      <c r="T34" s="43"/>
      <c r="U34" s="18">
        <v>45990.0</v>
      </c>
      <c r="V34" s="19"/>
      <c r="W34" s="19"/>
      <c r="X34" s="19"/>
      <c r="Y34" s="19"/>
      <c r="Z34" s="19"/>
      <c r="AA34" s="19"/>
      <c r="AB34" s="19"/>
    </row>
    <row r="35">
      <c r="A35" s="18">
        <v>45991.0</v>
      </c>
      <c r="B35" s="33">
        <v>146.0</v>
      </c>
      <c r="C35" s="19"/>
      <c r="D35" s="19"/>
      <c r="E35" s="19"/>
      <c r="F35" s="19"/>
      <c r="G35" s="19"/>
      <c r="H35" s="19"/>
      <c r="I35" s="19"/>
      <c r="K35" s="18">
        <v>45991.0</v>
      </c>
      <c r="L35" s="19"/>
      <c r="M35" s="19"/>
      <c r="N35" s="19"/>
      <c r="O35" s="19"/>
      <c r="P35" s="19"/>
      <c r="Q35" s="19"/>
      <c r="R35" s="19"/>
      <c r="S35" s="19"/>
      <c r="T35" s="43"/>
      <c r="U35" s="18">
        <v>45991.0</v>
      </c>
      <c r="V35" s="19"/>
      <c r="W35" s="19"/>
      <c r="X35" s="19"/>
      <c r="Y35" s="19"/>
      <c r="Z35" s="19"/>
      <c r="AA35" s="19"/>
      <c r="AB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S36" s="19"/>
      <c r="T36" s="43"/>
    </row>
    <row r="37">
      <c r="A37" s="35" t="s">
        <v>14</v>
      </c>
      <c r="B37" s="36">
        <f t="shared" ref="B37:E37" si="1">SUM(B6:B35)</f>
        <v>808</v>
      </c>
      <c r="C37" s="36">
        <f t="shared" si="1"/>
        <v>46</v>
      </c>
      <c r="D37" s="36">
        <f t="shared" si="1"/>
        <v>23</v>
      </c>
      <c r="E37" s="36">
        <f t="shared" si="1"/>
        <v>1</v>
      </c>
      <c r="F37" s="36">
        <f>B37/C37</f>
        <v>17.56521739</v>
      </c>
      <c r="G37" s="36">
        <f>B37/E37</f>
        <v>808</v>
      </c>
      <c r="H37" s="36">
        <f>D37/C37*100</f>
        <v>50</v>
      </c>
      <c r="I37" s="36">
        <f>B37*0.1</f>
        <v>80.8</v>
      </c>
      <c r="K37" s="35" t="s">
        <v>14</v>
      </c>
      <c r="L37" s="36">
        <f t="shared" ref="L37:O37" si="2">SUM(L6:L35)</f>
        <v>0</v>
      </c>
      <c r="M37" s="36">
        <f t="shared" si="2"/>
        <v>0</v>
      </c>
      <c r="N37" s="36">
        <f t="shared" si="2"/>
        <v>0</v>
      </c>
      <c r="O37" s="36">
        <f t="shared" si="2"/>
        <v>0</v>
      </c>
      <c r="P37" s="36" t="str">
        <f>L37/M37</f>
        <v>#DIV/0!</v>
      </c>
      <c r="Q37" s="36" t="str">
        <f>L37/O37</f>
        <v>#DIV/0!</v>
      </c>
      <c r="R37" s="36" t="str">
        <f>N37/M37*100</f>
        <v>#DIV/0!</v>
      </c>
      <c r="S37" s="36">
        <f>L37*0.1</f>
        <v>0</v>
      </c>
      <c r="T37" s="66"/>
    </row>
    <row r="38">
      <c r="T38" s="43"/>
    </row>
    <row r="39">
      <c r="T39" s="43"/>
    </row>
    <row r="40">
      <c r="T40" s="43"/>
    </row>
    <row r="41">
      <c r="T41" s="43"/>
    </row>
    <row r="42">
      <c r="T42" s="43"/>
    </row>
    <row r="43">
      <c r="T43" s="43"/>
    </row>
    <row r="44">
      <c r="T44" s="43"/>
    </row>
    <row r="45">
      <c r="T45" s="43"/>
    </row>
    <row r="46">
      <c r="T46" s="43"/>
    </row>
    <row r="47">
      <c r="T47" s="43"/>
    </row>
    <row r="48">
      <c r="T48" s="43"/>
    </row>
    <row r="49">
      <c r="T49" s="43"/>
    </row>
    <row r="50">
      <c r="T50" s="43"/>
    </row>
    <row r="51">
      <c r="T51" s="43"/>
    </row>
    <row r="52">
      <c r="T52" s="43"/>
    </row>
    <row r="53">
      <c r="T53" s="43"/>
    </row>
    <row r="54">
      <c r="T54" s="43"/>
    </row>
    <row r="55">
      <c r="T55" s="43"/>
    </row>
    <row r="56">
      <c r="T56" s="43"/>
    </row>
    <row r="57">
      <c r="T57" s="43"/>
    </row>
    <row r="58">
      <c r="T58" s="43"/>
    </row>
    <row r="59">
      <c r="T59" s="43"/>
    </row>
    <row r="60">
      <c r="T60" s="43"/>
    </row>
    <row r="61">
      <c r="T61" s="43"/>
    </row>
    <row r="62">
      <c r="T62" s="43"/>
    </row>
    <row r="63">
      <c r="T63" s="43"/>
    </row>
    <row r="64">
      <c r="T64" s="43"/>
    </row>
    <row r="65">
      <c r="T65" s="43"/>
    </row>
    <row r="66">
      <c r="T66" s="43"/>
    </row>
    <row r="67">
      <c r="T67" s="43"/>
    </row>
    <row r="68">
      <c r="T68" s="43"/>
    </row>
    <row r="69">
      <c r="T69" s="43"/>
    </row>
    <row r="70">
      <c r="T70" s="43"/>
    </row>
    <row r="71">
      <c r="T71" s="43"/>
    </row>
    <row r="72">
      <c r="T72" s="43"/>
    </row>
    <row r="73">
      <c r="T73" s="43"/>
    </row>
    <row r="74">
      <c r="T74" s="43"/>
    </row>
    <row r="75">
      <c r="T75" s="43"/>
    </row>
    <row r="76">
      <c r="T76" s="43"/>
    </row>
    <row r="77">
      <c r="T77" s="43"/>
    </row>
    <row r="78">
      <c r="T78" s="43"/>
    </row>
    <row r="79">
      <c r="T79" s="43"/>
    </row>
    <row r="80">
      <c r="T80" s="43"/>
    </row>
    <row r="81">
      <c r="T81" s="43"/>
    </row>
    <row r="82">
      <c r="T82" s="43"/>
    </row>
    <row r="83">
      <c r="T83" s="43"/>
    </row>
    <row r="84">
      <c r="T84" s="43"/>
    </row>
    <row r="85">
      <c r="T85" s="43"/>
    </row>
    <row r="86">
      <c r="T86" s="43"/>
    </row>
    <row r="87">
      <c r="T87" s="43"/>
    </row>
    <row r="88">
      <c r="T88" s="43"/>
    </row>
    <row r="89">
      <c r="T89" s="43"/>
    </row>
    <row r="90">
      <c r="T90" s="43"/>
    </row>
    <row r="91">
      <c r="T91" s="43"/>
    </row>
    <row r="92">
      <c r="T92" s="43"/>
    </row>
    <row r="93">
      <c r="T93" s="43"/>
    </row>
    <row r="94">
      <c r="T94" s="43"/>
    </row>
    <row r="95">
      <c r="T95" s="43"/>
    </row>
    <row r="96">
      <c r="T96" s="43"/>
    </row>
    <row r="97">
      <c r="T97" s="43"/>
    </row>
    <row r="98">
      <c r="T98" s="43"/>
    </row>
    <row r="99">
      <c r="T99" s="43"/>
    </row>
    <row r="100">
      <c r="T100" s="43"/>
    </row>
    <row r="101">
      <c r="T101" s="43"/>
    </row>
    <row r="102">
      <c r="T102" s="43"/>
    </row>
    <row r="103">
      <c r="T103" s="43"/>
    </row>
    <row r="104">
      <c r="T104" s="43"/>
    </row>
    <row r="105">
      <c r="T105" s="43"/>
    </row>
    <row r="106">
      <c r="T106" s="43"/>
    </row>
    <row r="107">
      <c r="T107" s="43"/>
    </row>
    <row r="108">
      <c r="T108" s="43"/>
    </row>
    <row r="109">
      <c r="T109" s="43"/>
    </row>
    <row r="110">
      <c r="T110" s="43"/>
    </row>
    <row r="111">
      <c r="T111" s="43"/>
    </row>
    <row r="112">
      <c r="T112" s="43"/>
    </row>
    <row r="113">
      <c r="T113" s="43"/>
    </row>
    <row r="114">
      <c r="T114" s="43"/>
    </row>
    <row r="115">
      <c r="T115" s="43"/>
    </row>
    <row r="116">
      <c r="T116" s="43"/>
    </row>
    <row r="117">
      <c r="T117" s="43"/>
    </row>
    <row r="118">
      <c r="T118" s="43"/>
    </row>
    <row r="119">
      <c r="T119" s="43"/>
    </row>
    <row r="120">
      <c r="T120" s="43"/>
    </row>
    <row r="121">
      <c r="T121" s="43"/>
    </row>
    <row r="122">
      <c r="T122" s="43"/>
    </row>
    <row r="123">
      <c r="T123" s="43"/>
    </row>
    <row r="124">
      <c r="T124" s="43"/>
    </row>
    <row r="125">
      <c r="T125" s="43"/>
    </row>
    <row r="126">
      <c r="T126" s="43"/>
    </row>
    <row r="127">
      <c r="T127" s="43"/>
    </row>
    <row r="128">
      <c r="T128" s="43"/>
    </row>
    <row r="129">
      <c r="T129" s="43"/>
    </row>
    <row r="130">
      <c r="T130" s="43"/>
    </row>
    <row r="131">
      <c r="T131" s="43"/>
    </row>
    <row r="132">
      <c r="T132" s="43"/>
    </row>
    <row r="133">
      <c r="T133" s="43"/>
    </row>
    <row r="134">
      <c r="T134" s="43"/>
    </row>
    <row r="135">
      <c r="T135" s="43"/>
    </row>
    <row r="136">
      <c r="T136" s="43"/>
    </row>
    <row r="137">
      <c r="T137" s="43"/>
    </row>
    <row r="138">
      <c r="T138" s="43"/>
    </row>
    <row r="139">
      <c r="T139" s="43"/>
    </row>
    <row r="140">
      <c r="T140" s="43"/>
    </row>
    <row r="141">
      <c r="T141" s="43"/>
    </row>
    <row r="142">
      <c r="T142" s="43"/>
    </row>
    <row r="143">
      <c r="T143" s="43"/>
    </row>
    <row r="144">
      <c r="T144" s="43"/>
    </row>
    <row r="145">
      <c r="T145" s="43"/>
    </row>
    <row r="146">
      <c r="T146" s="43"/>
    </row>
    <row r="147">
      <c r="T147" s="43"/>
    </row>
    <row r="148">
      <c r="T148" s="43"/>
    </row>
    <row r="149">
      <c r="T149" s="43"/>
    </row>
    <row r="150">
      <c r="T150" s="43"/>
    </row>
    <row r="151">
      <c r="T151" s="43"/>
    </row>
    <row r="152">
      <c r="T152" s="43"/>
    </row>
    <row r="153">
      <c r="T153" s="43"/>
    </row>
    <row r="154">
      <c r="T154" s="43"/>
    </row>
    <row r="155">
      <c r="T155" s="43"/>
    </row>
    <row r="156">
      <c r="T156" s="43"/>
    </row>
    <row r="157">
      <c r="T157" s="43"/>
    </row>
    <row r="158">
      <c r="T158" s="43"/>
    </row>
    <row r="159">
      <c r="T159" s="43"/>
    </row>
    <row r="160">
      <c r="T160" s="43"/>
    </row>
    <row r="161">
      <c r="T161" s="43"/>
    </row>
    <row r="162">
      <c r="T162" s="43"/>
    </row>
    <row r="163">
      <c r="T163" s="43"/>
    </row>
    <row r="164">
      <c r="T164" s="43"/>
    </row>
    <row r="165">
      <c r="T165" s="43"/>
    </row>
    <row r="166">
      <c r="T166" s="43"/>
    </row>
    <row r="167">
      <c r="T167" s="43"/>
    </row>
    <row r="168">
      <c r="T168" s="43"/>
    </row>
    <row r="169">
      <c r="T169" s="43"/>
    </row>
    <row r="170">
      <c r="T170" s="43"/>
    </row>
    <row r="171">
      <c r="T171" s="43"/>
    </row>
    <row r="172">
      <c r="T172" s="43"/>
    </row>
    <row r="173">
      <c r="T173" s="43"/>
    </row>
    <row r="174">
      <c r="T174" s="43"/>
    </row>
    <row r="175">
      <c r="T175" s="43"/>
    </row>
    <row r="176">
      <c r="T176" s="43"/>
    </row>
    <row r="177">
      <c r="T177" s="43"/>
    </row>
    <row r="178">
      <c r="T178" s="43"/>
    </row>
    <row r="179">
      <c r="T179" s="43"/>
    </row>
    <row r="180">
      <c r="T180" s="43"/>
    </row>
    <row r="181">
      <c r="T181" s="43"/>
    </row>
    <row r="182">
      <c r="T182" s="43"/>
    </row>
    <row r="183">
      <c r="T183" s="43"/>
    </row>
    <row r="184">
      <c r="T184" s="43"/>
    </row>
    <row r="185">
      <c r="T185" s="43"/>
    </row>
    <row r="186">
      <c r="T186" s="43"/>
    </row>
    <row r="187">
      <c r="T187" s="43"/>
    </row>
    <row r="188">
      <c r="T188" s="43"/>
    </row>
    <row r="189">
      <c r="T189" s="43"/>
    </row>
    <row r="190">
      <c r="T190" s="43"/>
    </row>
    <row r="191">
      <c r="T191" s="43"/>
    </row>
    <row r="192">
      <c r="T192" s="43"/>
    </row>
    <row r="193">
      <c r="T193" s="43"/>
    </row>
    <row r="194">
      <c r="T194" s="43"/>
    </row>
    <row r="195">
      <c r="T195" s="43"/>
    </row>
    <row r="196">
      <c r="T196" s="43"/>
    </row>
    <row r="197">
      <c r="T197" s="43"/>
    </row>
    <row r="198">
      <c r="T198" s="43"/>
    </row>
    <row r="199">
      <c r="T199" s="43"/>
    </row>
    <row r="200">
      <c r="T200" s="43"/>
    </row>
    <row r="201">
      <c r="T201" s="43"/>
    </row>
    <row r="202">
      <c r="T202" s="43"/>
    </row>
    <row r="203">
      <c r="T203" s="43"/>
    </row>
    <row r="204">
      <c r="T204" s="43"/>
    </row>
    <row r="205">
      <c r="T205" s="43"/>
    </row>
    <row r="206">
      <c r="T206" s="43"/>
    </row>
    <row r="207">
      <c r="T207" s="43"/>
    </row>
    <row r="208">
      <c r="T208" s="43"/>
    </row>
    <row r="209">
      <c r="T209" s="43"/>
    </row>
    <row r="210">
      <c r="T210" s="43"/>
    </row>
    <row r="211">
      <c r="T211" s="43"/>
    </row>
    <row r="212">
      <c r="T212" s="43"/>
    </row>
    <row r="213">
      <c r="T213" s="43"/>
    </row>
    <row r="214">
      <c r="T214" s="43"/>
    </row>
    <row r="215">
      <c r="T215" s="43"/>
    </row>
    <row r="216">
      <c r="T216" s="43"/>
    </row>
    <row r="217">
      <c r="T217" s="43"/>
    </row>
    <row r="218">
      <c r="T218" s="43"/>
    </row>
    <row r="219">
      <c r="T219" s="43"/>
    </row>
    <row r="220">
      <c r="T220" s="43"/>
    </row>
    <row r="221">
      <c r="T221" s="43"/>
    </row>
    <row r="222">
      <c r="T222" s="43"/>
    </row>
    <row r="223">
      <c r="T223" s="43"/>
    </row>
    <row r="224">
      <c r="T224" s="43"/>
    </row>
    <row r="225">
      <c r="T225" s="43"/>
    </row>
    <row r="226">
      <c r="T226" s="43"/>
    </row>
    <row r="227">
      <c r="T227" s="43"/>
    </row>
    <row r="228">
      <c r="T228" s="43"/>
    </row>
    <row r="229">
      <c r="T229" s="43"/>
    </row>
    <row r="230">
      <c r="T230" s="43"/>
    </row>
    <row r="231">
      <c r="T231" s="43"/>
    </row>
    <row r="232">
      <c r="T232" s="43"/>
    </row>
    <row r="233">
      <c r="T233" s="43"/>
    </row>
    <row r="234">
      <c r="T234" s="43"/>
    </row>
    <row r="235">
      <c r="T235" s="43"/>
    </row>
    <row r="236">
      <c r="T236" s="43"/>
    </row>
    <row r="237">
      <c r="T237" s="43"/>
    </row>
    <row r="238">
      <c r="T238" s="43"/>
    </row>
    <row r="239">
      <c r="T239" s="43"/>
    </row>
    <row r="240">
      <c r="T240" s="43"/>
    </row>
    <row r="241">
      <c r="T241" s="43"/>
    </row>
    <row r="242">
      <c r="T242" s="43"/>
    </row>
    <row r="243">
      <c r="T243" s="43"/>
    </row>
    <row r="244">
      <c r="T244" s="43"/>
    </row>
    <row r="245">
      <c r="T245" s="43"/>
    </row>
    <row r="246">
      <c r="T246" s="43"/>
    </row>
    <row r="247">
      <c r="T247" s="43"/>
    </row>
    <row r="248">
      <c r="T248" s="43"/>
    </row>
    <row r="249">
      <c r="T249" s="43"/>
    </row>
    <row r="250">
      <c r="T250" s="43"/>
    </row>
    <row r="251">
      <c r="T251" s="43"/>
    </row>
    <row r="252">
      <c r="T252" s="43"/>
    </row>
    <row r="253">
      <c r="T253" s="43"/>
    </row>
    <row r="254">
      <c r="T254" s="43"/>
    </row>
    <row r="255">
      <c r="T255" s="43"/>
    </row>
    <row r="256">
      <c r="T256" s="43"/>
    </row>
    <row r="257">
      <c r="T257" s="43"/>
    </row>
    <row r="258">
      <c r="T258" s="43"/>
    </row>
    <row r="259">
      <c r="T259" s="43"/>
    </row>
    <row r="260">
      <c r="T260" s="43"/>
    </row>
    <row r="261">
      <c r="T261" s="43"/>
    </row>
    <row r="262">
      <c r="T262" s="43"/>
    </row>
    <row r="263">
      <c r="T263" s="43"/>
    </row>
    <row r="264">
      <c r="T264" s="43"/>
    </row>
    <row r="265">
      <c r="T265" s="43"/>
    </row>
    <row r="266">
      <c r="T266" s="43"/>
    </row>
    <row r="267">
      <c r="T267" s="43"/>
    </row>
    <row r="268">
      <c r="T268" s="43"/>
    </row>
    <row r="269">
      <c r="T269" s="43"/>
    </row>
    <row r="270">
      <c r="T270" s="43"/>
    </row>
    <row r="271">
      <c r="T271" s="43"/>
    </row>
    <row r="272">
      <c r="T272" s="43"/>
    </row>
    <row r="273">
      <c r="T273" s="43"/>
    </row>
    <row r="274">
      <c r="T274" s="43"/>
    </row>
    <row r="275">
      <c r="T275" s="43"/>
    </row>
    <row r="276">
      <c r="T276" s="43"/>
    </row>
    <row r="277">
      <c r="T277" s="43"/>
    </row>
    <row r="278">
      <c r="T278" s="43"/>
    </row>
    <row r="279">
      <c r="T279" s="43"/>
    </row>
    <row r="280">
      <c r="T280" s="43"/>
    </row>
    <row r="281">
      <c r="T281" s="43"/>
    </row>
    <row r="282">
      <c r="T282" s="43"/>
    </row>
    <row r="283">
      <c r="T283" s="43"/>
    </row>
    <row r="284">
      <c r="T284" s="43"/>
    </row>
    <row r="285">
      <c r="T285" s="43"/>
    </row>
    <row r="286">
      <c r="T286" s="43"/>
    </row>
    <row r="287">
      <c r="T287" s="43"/>
    </row>
    <row r="288">
      <c r="T288" s="43"/>
    </row>
    <row r="289">
      <c r="T289" s="43"/>
    </row>
    <row r="290">
      <c r="T290" s="43"/>
    </row>
    <row r="291">
      <c r="T291" s="43"/>
    </row>
    <row r="292">
      <c r="T292" s="43"/>
    </row>
    <row r="293">
      <c r="T293" s="43"/>
    </row>
    <row r="294">
      <c r="T294" s="43"/>
    </row>
    <row r="295">
      <c r="T295" s="43"/>
    </row>
    <row r="296">
      <c r="T296" s="43"/>
    </row>
    <row r="297">
      <c r="T297" s="43"/>
    </row>
    <row r="298">
      <c r="T298" s="43"/>
    </row>
    <row r="299">
      <c r="T299" s="43"/>
    </row>
    <row r="300">
      <c r="T300" s="43"/>
    </row>
    <row r="301">
      <c r="T301" s="43"/>
    </row>
    <row r="302">
      <c r="T302" s="43"/>
    </row>
    <row r="303">
      <c r="T303" s="43"/>
    </row>
    <row r="304">
      <c r="T304" s="43"/>
    </row>
    <row r="305">
      <c r="T305" s="43"/>
    </row>
    <row r="306">
      <c r="T306" s="43"/>
    </row>
    <row r="307">
      <c r="T307" s="43"/>
    </row>
    <row r="308">
      <c r="T308" s="43"/>
    </row>
    <row r="309">
      <c r="T309" s="43"/>
    </row>
    <row r="310">
      <c r="T310" s="43"/>
    </row>
    <row r="311">
      <c r="T311" s="43"/>
    </row>
    <row r="312">
      <c r="T312" s="43"/>
    </row>
    <row r="313">
      <c r="T313" s="43"/>
    </row>
    <row r="314">
      <c r="T314" s="43"/>
    </row>
    <row r="315">
      <c r="T315" s="43"/>
    </row>
    <row r="316">
      <c r="T316" s="43"/>
    </row>
    <row r="317">
      <c r="T317" s="43"/>
    </row>
    <row r="318">
      <c r="T318" s="43"/>
    </row>
    <row r="319">
      <c r="T319" s="43"/>
    </row>
    <row r="320">
      <c r="T320" s="43"/>
    </row>
    <row r="321">
      <c r="T321" s="43"/>
    </row>
    <row r="322">
      <c r="T322" s="43"/>
    </row>
    <row r="323">
      <c r="T323" s="43"/>
    </row>
    <row r="324">
      <c r="T324" s="43"/>
    </row>
    <row r="325">
      <c r="T325" s="43"/>
    </row>
    <row r="326">
      <c r="T326" s="43"/>
    </row>
    <row r="327">
      <c r="T327" s="43"/>
    </row>
    <row r="328">
      <c r="T328" s="43"/>
    </row>
    <row r="329">
      <c r="T329" s="43"/>
    </row>
    <row r="330">
      <c r="T330" s="43"/>
    </row>
    <row r="331">
      <c r="T331" s="43"/>
    </row>
    <row r="332">
      <c r="T332" s="43"/>
    </row>
    <row r="333">
      <c r="T333" s="43"/>
    </row>
    <row r="334">
      <c r="T334" s="43"/>
    </row>
    <row r="335">
      <c r="T335" s="43"/>
    </row>
    <row r="336">
      <c r="T336" s="43"/>
    </row>
    <row r="337">
      <c r="T337" s="43"/>
    </row>
    <row r="338">
      <c r="T338" s="43"/>
    </row>
    <row r="339">
      <c r="T339" s="43"/>
    </row>
    <row r="340">
      <c r="T340" s="43"/>
    </row>
    <row r="341">
      <c r="T341" s="43"/>
    </row>
    <row r="342">
      <c r="T342" s="43"/>
    </row>
    <row r="343">
      <c r="T343" s="43"/>
    </row>
    <row r="344">
      <c r="T344" s="43"/>
    </row>
    <row r="345">
      <c r="T345" s="43"/>
    </row>
    <row r="346">
      <c r="T346" s="43"/>
    </row>
    <row r="347">
      <c r="T347" s="43"/>
    </row>
    <row r="348">
      <c r="T348" s="43"/>
    </row>
    <row r="349">
      <c r="T349" s="43"/>
    </row>
    <row r="350">
      <c r="T350" s="43"/>
    </row>
    <row r="351">
      <c r="T351" s="43"/>
    </row>
    <row r="352">
      <c r="T352" s="43"/>
    </row>
    <row r="353">
      <c r="T353" s="43"/>
    </row>
    <row r="354">
      <c r="T354" s="43"/>
    </row>
    <row r="355">
      <c r="T355" s="43"/>
    </row>
    <row r="356">
      <c r="T356" s="43"/>
    </row>
    <row r="357">
      <c r="T357" s="43"/>
    </row>
    <row r="358">
      <c r="T358" s="43"/>
    </row>
    <row r="359">
      <c r="T359" s="43"/>
    </row>
    <row r="360">
      <c r="T360" s="43"/>
    </row>
    <row r="361">
      <c r="T361" s="43"/>
    </row>
    <row r="362">
      <c r="T362" s="43"/>
    </row>
    <row r="363">
      <c r="T363" s="43"/>
    </row>
    <row r="364">
      <c r="T364" s="43"/>
    </row>
    <row r="365">
      <c r="T365" s="43"/>
    </row>
    <row r="366">
      <c r="T366" s="43"/>
    </row>
    <row r="367">
      <c r="T367" s="43"/>
    </row>
    <row r="368">
      <c r="T368" s="43"/>
    </row>
    <row r="369">
      <c r="T369" s="43"/>
    </row>
    <row r="370">
      <c r="T370" s="43"/>
    </row>
    <row r="371">
      <c r="T371" s="43"/>
    </row>
    <row r="372">
      <c r="T372" s="43"/>
    </row>
    <row r="373">
      <c r="T373" s="43"/>
    </row>
    <row r="374">
      <c r="T374" s="43"/>
    </row>
    <row r="375">
      <c r="T375" s="43"/>
    </row>
    <row r="376">
      <c r="T376" s="43"/>
    </row>
    <row r="377">
      <c r="T377" s="43"/>
    </row>
    <row r="378">
      <c r="T378" s="43"/>
    </row>
    <row r="379">
      <c r="T379" s="43"/>
    </row>
    <row r="380">
      <c r="T380" s="43"/>
    </row>
    <row r="381">
      <c r="T381" s="43"/>
    </row>
    <row r="382">
      <c r="T382" s="43"/>
    </row>
    <row r="383">
      <c r="T383" s="43"/>
    </row>
    <row r="384">
      <c r="T384" s="43"/>
    </row>
    <row r="385">
      <c r="T385" s="43"/>
    </row>
    <row r="386">
      <c r="T386" s="43"/>
    </row>
    <row r="387">
      <c r="T387" s="43"/>
    </row>
    <row r="388">
      <c r="T388" s="43"/>
    </row>
    <row r="389">
      <c r="T389" s="43"/>
    </row>
    <row r="390">
      <c r="T390" s="43"/>
    </row>
    <row r="391">
      <c r="T391" s="43"/>
    </row>
    <row r="392">
      <c r="T392" s="43"/>
    </row>
    <row r="393">
      <c r="T393" s="43"/>
    </row>
    <row r="394">
      <c r="T394" s="43"/>
    </row>
    <row r="395">
      <c r="T395" s="43"/>
    </row>
    <row r="396">
      <c r="T396" s="43"/>
    </row>
    <row r="397">
      <c r="T397" s="43"/>
    </row>
    <row r="398">
      <c r="T398" s="43"/>
    </row>
    <row r="399">
      <c r="T399" s="43"/>
    </row>
    <row r="400">
      <c r="T400" s="43"/>
    </row>
    <row r="401">
      <c r="T401" s="43"/>
    </row>
    <row r="402">
      <c r="T402" s="43"/>
    </row>
    <row r="403">
      <c r="T403" s="43"/>
    </row>
    <row r="404">
      <c r="T404" s="43"/>
    </row>
    <row r="405">
      <c r="T405" s="43"/>
    </row>
    <row r="406">
      <c r="T406" s="43"/>
    </row>
    <row r="407">
      <c r="T407" s="43"/>
    </row>
    <row r="408">
      <c r="T408" s="43"/>
    </row>
    <row r="409">
      <c r="T409" s="43"/>
    </row>
    <row r="410">
      <c r="T410" s="43"/>
    </row>
    <row r="411">
      <c r="T411" s="43"/>
    </row>
    <row r="412">
      <c r="T412" s="43"/>
    </row>
    <row r="413">
      <c r="T413" s="43"/>
    </row>
    <row r="414">
      <c r="T414" s="43"/>
    </row>
    <row r="415">
      <c r="T415" s="43"/>
    </row>
    <row r="416">
      <c r="T416" s="43"/>
    </row>
    <row r="417">
      <c r="T417" s="43"/>
    </row>
    <row r="418">
      <c r="T418" s="43"/>
    </row>
    <row r="419">
      <c r="T419" s="43"/>
    </row>
    <row r="420">
      <c r="T420" s="43"/>
    </row>
    <row r="421">
      <c r="T421" s="43"/>
    </row>
    <row r="422">
      <c r="T422" s="43"/>
    </row>
    <row r="423">
      <c r="T423" s="43"/>
    </row>
    <row r="424">
      <c r="T424" s="43"/>
    </row>
    <row r="425">
      <c r="T425" s="43"/>
    </row>
    <row r="426">
      <c r="T426" s="43"/>
    </row>
    <row r="427">
      <c r="T427" s="43"/>
    </row>
    <row r="428">
      <c r="T428" s="43"/>
    </row>
    <row r="429">
      <c r="T429" s="43"/>
    </row>
    <row r="430">
      <c r="T430" s="43"/>
    </row>
    <row r="431">
      <c r="T431" s="43"/>
    </row>
    <row r="432">
      <c r="T432" s="43"/>
    </row>
    <row r="433">
      <c r="T433" s="43"/>
    </row>
    <row r="434">
      <c r="T434" s="43"/>
    </row>
    <row r="435">
      <c r="T435" s="43"/>
    </row>
    <row r="436">
      <c r="T436" s="43"/>
    </row>
    <row r="437">
      <c r="T437" s="43"/>
    </row>
    <row r="438">
      <c r="T438" s="43"/>
    </row>
    <row r="439">
      <c r="T439" s="43"/>
    </row>
    <row r="440">
      <c r="T440" s="43"/>
    </row>
    <row r="441">
      <c r="T441" s="43"/>
    </row>
    <row r="442">
      <c r="T442" s="43"/>
    </row>
    <row r="443">
      <c r="T443" s="43"/>
    </row>
    <row r="444">
      <c r="T444" s="43"/>
    </row>
    <row r="445">
      <c r="T445" s="43"/>
    </row>
    <row r="446">
      <c r="T446" s="43"/>
    </row>
    <row r="447">
      <c r="T447" s="43"/>
    </row>
    <row r="448">
      <c r="T448" s="43"/>
    </row>
    <row r="449">
      <c r="T449" s="43"/>
    </row>
    <row r="450">
      <c r="T450" s="43"/>
    </row>
    <row r="451">
      <c r="T451" s="43"/>
    </row>
    <row r="452">
      <c r="T452" s="43"/>
    </row>
    <row r="453">
      <c r="T453" s="43"/>
    </row>
    <row r="454">
      <c r="T454" s="43"/>
    </row>
    <row r="455">
      <c r="T455" s="43"/>
    </row>
    <row r="456">
      <c r="T456" s="43"/>
    </row>
    <row r="457">
      <c r="T457" s="43"/>
    </row>
    <row r="458">
      <c r="T458" s="43"/>
    </row>
    <row r="459">
      <c r="T459" s="43"/>
    </row>
    <row r="460">
      <c r="T460" s="43"/>
    </row>
    <row r="461">
      <c r="T461" s="43"/>
    </row>
    <row r="462">
      <c r="T462" s="43"/>
    </row>
    <row r="463">
      <c r="T463" s="43"/>
    </row>
    <row r="464">
      <c r="T464" s="43"/>
    </row>
    <row r="465">
      <c r="T465" s="43"/>
    </row>
    <row r="466">
      <c r="T466" s="43"/>
    </row>
    <row r="467">
      <c r="T467" s="43"/>
    </row>
    <row r="468">
      <c r="T468" s="43"/>
    </row>
    <row r="469">
      <c r="T469" s="43"/>
    </row>
    <row r="470">
      <c r="T470" s="43"/>
    </row>
    <row r="471">
      <c r="T471" s="43"/>
    </row>
    <row r="472">
      <c r="T472" s="43"/>
    </row>
    <row r="473">
      <c r="T473" s="43"/>
    </row>
    <row r="474">
      <c r="T474" s="43"/>
    </row>
    <row r="475">
      <c r="T475" s="43"/>
    </row>
    <row r="476">
      <c r="T476" s="43"/>
    </row>
    <row r="477">
      <c r="T477" s="43"/>
    </row>
    <row r="478">
      <c r="T478" s="43"/>
    </row>
    <row r="479">
      <c r="T479" s="43"/>
    </row>
    <row r="480">
      <c r="T480" s="43"/>
    </row>
    <row r="481">
      <c r="T481" s="43"/>
    </row>
    <row r="482">
      <c r="T482" s="43"/>
    </row>
    <row r="483">
      <c r="T483" s="43"/>
    </row>
    <row r="484">
      <c r="T484" s="43"/>
    </row>
    <row r="485">
      <c r="T485" s="43"/>
    </row>
    <row r="486">
      <c r="T486" s="43"/>
    </row>
    <row r="487">
      <c r="T487" s="43"/>
    </row>
    <row r="488">
      <c r="T488" s="43"/>
    </row>
    <row r="489">
      <c r="T489" s="43"/>
    </row>
    <row r="490">
      <c r="T490" s="43"/>
    </row>
    <row r="491">
      <c r="T491" s="43"/>
    </row>
    <row r="492">
      <c r="T492" s="43"/>
    </row>
    <row r="493">
      <c r="T493" s="43"/>
    </row>
    <row r="494">
      <c r="T494" s="43"/>
    </row>
    <row r="495">
      <c r="T495" s="43"/>
    </row>
    <row r="496">
      <c r="T496" s="43"/>
    </row>
    <row r="497">
      <c r="T497" s="43"/>
    </row>
    <row r="498">
      <c r="T498" s="43"/>
    </row>
    <row r="499">
      <c r="T499" s="43"/>
    </row>
    <row r="500">
      <c r="T500" s="43"/>
    </row>
    <row r="501">
      <c r="T501" s="43"/>
    </row>
    <row r="502">
      <c r="T502" s="43"/>
    </row>
    <row r="503">
      <c r="T503" s="43"/>
    </row>
    <row r="504">
      <c r="T504" s="43"/>
    </row>
    <row r="505">
      <c r="T505" s="43"/>
    </row>
    <row r="506">
      <c r="T506" s="43"/>
    </row>
    <row r="507">
      <c r="T507" s="43"/>
    </row>
    <row r="508">
      <c r="T508" s="43"/>
    </row>
    <row r="509">
      <c r="T509" s="43"/>
    </row>
    <row r="510">
      <c r="T510" s="43"/>
    </row>
    <row r="511">
      <c r="T511" s="43"/>
    </row>
    <row r="512">
      <c r="T512" s="43"/>
    </row>
    <row r="513">
      <c r="T513" s="43"/>
    </row>
    <row r="514">
      <c r="T514" s="43"/>
    </row>
    <row r="515">
      <c r="T515" s="43"/>
    </row>
    <row r="516">
      <c r="T516" s="43"/>
    </row>
    <row r="517">
      <c r="T517" s="43"/>
    </row>
    <row r="518">
      <c r="T518" s="43"/>
    </row>
    <row r="519">
      <c r="T519" s="43"/>
    </row>
    <row r="520">
      <c r="T520" s="43"/>
    </row>
    <row r="521">
      <c r="T521" s="43"/>
    </row>
    <row r="522">
      <c r="T522" s="43"/>
    </row>
    <row r="523">
      <c r="T523" s="43"/>
    </row>
    <row r="524">
      <c r="T524" s="43"/>
    </row>
    <row r="525">
      <c r="T525" s="43"/>
    </row>
    <row r="526">
      <c r="T526" s="43"/>
    </row>
    <row r="527">
      <c r="T527" s="43"/>
    </row>
    <row r="528">
      <c r="T528" s="43"/>
    </row>
    <row r="529">
      <c r="T529" s="43"/>
    </row>
    <row r="530">
      <c r="T530" s="43"/>
    </row>
    <row r="531">
      <c r="T531" s="43"/>
    </row>
    <row r="532">
      <c r="T532" s="43"/>
    </row>
    <row r="533">
      <c r="T533" s="43"/>
    </row>
    <row r="534">
      <c r="T534" s="43"/>
    </row>
    <row r="535">
      <c r="T535" s="43"/>
    </row>
    <row r="536">
      <c r="T536" s="43"/>
    </row>
    <row r="537">
      <c r="T537" s="43"/>
    </row>
    <row r="538">
      <c r="T538" s="43"/>
    </row>
    <row r="539">
      <c r="T539" s="43"/>
    </row>
    <row r="540">
      <c r="T540" s="43"/>
    </row>
    <row r="541">
      <c r="T541" s="43"/>
    </row>
    <row r="542">
      <c r="T542" s="43"/>
    </row>
    <row r="543">
      <c r="T543" s="43"/>
    </row>
    <row r="544">
      <c r="T544" s="43"/>
    </row>
    <row r="545">
      <c r="T545" s="43"/>
    </row>
    <row r="546">
      <c r="T546" s="43"/>
    </row>
    <row r="547">
      <c r="T547" s="43"/>
    </row>
    <row r="548">
      <c r="T548" s="43"/>
    </row>
    <row r="549">
      <c r="T549" s="43"/>
    </row>
    <row r="550">
      <c r="T550" s="43"/>
    </row>
    <row r="551">
      <c r="T551" s="43"/>
    </row>
    <row r="552">
      <c r="T552" s="43"/>
    </row>
    <row r="553">
      <c r="T553" s="43"/>
    </row>
    <row r="554">
      <c r="T554" s="43"/>
    </row>
    <row r="555">
      <c r="T555" s="43"/>
    </row>
    <row r="556">
      <c r="T556" s="43"/>
    </row>
    <row r="557">
      <c r="T557" s="43"/>
    </row>
    <row r="558">
      <c r="T558" s="43"/>
    </row>
    <row r="559">
      <c r="T559" s="43"/>
    </row>
    <row r="560">
      <c r="T560" s="43"/>
    </row>
    <row r="561">
      <c r="T561" s="43"/>
    </row>
    <row r="562">
      <c r="T562" s="43"/>
    </row>
    <row r="563">
      <c r="T563" s="43"/>
    </row>
    <row r="564">
      <c r="T564" s="43"/>
    </row>
    <row r="565">
      <c r="T565" s="43"/>
    </row>
    <row r="566">
      <c r="T566" s="43"/>
    </row>
    <row r="567">
      <c r="T567" s="43"/>
    </row>
    <row r="568">
      <c r="T568" s="43"/>
    </row>
    <row r="569">
      <c r="T569" s="43"/>
    </row>
    <row r="570">
      <c r="T570" s="43"/>
    </row>
    <row r="571">
      <c r="T571" s="43"/>
    </row>
    <row r="572">
      <c r="T572" s="43"/>
    </row>
    <row r="573">
      <c r="T573" s="43"/>
    </row>
    <row r="574">
      <c r="T574" s="43"/>
    </row>
    <row r="575">
      <c r="T575" s="43"/>
    </row>
    <row r="576">
      <c r="T576" s="43"/>
    </row>
    <row r="577">
      <c r="T577" s="43"/>
    </row>
    <row r="578">
      <c r="T578" s="43"/>
    </row>
    <row r="579">
      <c r="T579" s="43"/>
    </row>
    <row r="580">
      <c r="T580" s="43"/>
    </row>
    <row r="581">
      <c r="T581" s="43"/>
    </row>
    <row r="582">
      <c r="T582" s="43"/>
    </row>
    <row r="583">
      <c r="T583" s="43"/>
    </row>
    <row r="584">
      <c r="T584" s="43"/>
    </row>
    <row r="585">
      <c r="T585" s="43"/>
    </row>
    <row r="586">
      <c r="T586" s="43"/>
    </row>
    <row r="587">
      <c r="T587" s="43"/>
    </row>
    <row r="588">
      <c r="T588" s="43"/>
    </row>
    <row r="589">
      <c r="T589" s="43"/>
    </row>
    <row r="590">
      <c r="T590" s="43"/>
    </row>
    <row r="591">
      <c r="T591" s="43"/>
    </row>
    <row r="592">
      <c r="T592" s="43"/>
    </row>
    <row r="593">
      <c r="T593" s="43"/>
    </row>
    <row r="594">
      <c r="T594" s="43"/>
    </row>
    <row r="595">
      <c r="T595" s="43"/>
    </row>
    <row r="596">
      <c r="T596" s="43"/>
    </row>
    <row r="597">
      <c r="T597" s="43"/>
    </row>
    <row r="598">
      <c r="T598" s="43"/>
    </row>
    <row r="599">
      <c r="T599" s="43"/>
    </row>
    <row r="600">
      <c r="T600" s="43"/>
    </row>
    <row r="601">
      <c r="T601" s="43"/>
    </row>
    <row r="602">
      <c r="T602" s="43"/>
    </row>
    <row r="603">
      <c r="T603" s="43"/>
    </row>
    <row r="604">
      <c r="T604" s="43"/>
    </row>
    <row r="605">
      <c r="T605" s="43"/>
    </row>
    <row r="606">
      <c r="T606" s="43"/>
    </row>
    <row r="607">
      <c r="T607" s="43"/>
    </row>
    <row r="608">
      <c r="T608" s="43"/>
    </row>
    <row r="609">
      <c r="T609" s="43"/>
    </row>
    <row r="610">
      <c r="T610" s="43"/>
    </row>
    <row r="611">
      <c r="T611" s="43"/>
    </row>
    <row r="612">
      <c r="T612" s="43"/>
    </row>
    <row r="613">
      <c r="T613" s="43"/>
    </row>
    <row r="614">
      <c r="T614" s="43"/>
    </row>
    <row r="615">
      <c r="T615" s="43"/>
    </row>
    <row r="616">
      <c r="T616" s="43"/>
    </row>
    <row r="617">
      <c r="T617" s="43"/>
    </row>
    <row r="618">
      <c r="T618" s="43"/>
    </row>
    <row r="619">
      <c r="T619" s="43"/>
    </row>
    <row r="620">
      <c r="T620" s="43"/>
    </row>
    <row r="621">
      <c r="T621" s="43"/>
    </row>
    <row r="622">
      <c r="T622" s="43"/>
    </row>
    <row r="623">
      <c r="T623" s="43"/>
    </row>
    <row r="624">
      <c r="T624" s="43"/>
    </row>
    <row r="625">
      <c r="T625" s="43"/>
    </row>
    <row r="626">
      <c r="T626" s="43"/>
    </row>
    <row r="627">
      <c r="T627" s="43"/>
    </row>
    <row r="628">
      <c r="T628" s="43"/>
    </row>
    <row r="629">
      <c r="T629" s="43"/>
    </row>
    <row r="630">
      <c r="T630" s="43"/>
    </row>
    <row r="631">
      <c r="T631" s="43"/>
    </row>
    <row r="632">
      <c r="T632" s="43"/>
    </row>
    <row r="633">
      <c r="T633" s="43"/>
    </row>
    <row r="634">
      <c r="T634" s="43"/>
    </row>
    <row r="635">
      <c r="T635" s="43"/>
    </row>
    <row r="636">
      <c r="T636" s="43"/>
    </row>
    <row r="637">
      <c r="T637" s="43"/>
    </row>
    <row r="638">
      <c r="T638" s="43"/>
    </row>
    <row r="639">
      <c r="T639" s="43"/>
    </row>
    <row r="640">
      <c r="T640" s="43"/>
    </row>
    <row r="641">
      <c r="T641" s="43"/>
    </row>
    <row r="642">
      <c r="T642" s="43"/>
    </row>
    <row r="643">
      <c r="T643" s="43"/>
    </row>
    <row r="644">
      <c r="T644" s="43"/>
    </row>
    <row r="645">
      <c r="T645" s="43"/>
    </row>
    <row r="646">
      <c r="T646" s="43"/>
    </row>
    <row r="647">
      <c r="T647" s="43"/>
    </row>
    <row r="648">
      <c r="T648" s="43"/>
    </row>
    <row r="649">
      <c r="T649" s="43"/>
    </row>
    <row r="650">
      <c r="T650" s="43"/>
    </row>
    <row r="651">
      <c r="T651" s="43"/>
    </row>
    <row r="652">
      <c r="T652" s="43"/>
    </row>
    <row r="653">
      <c r="T653" s="43"/>
    </row>
    <row r="654">
      <c r="T654" s="43"/>
    </row>
    <row r="655">
      <c r="T655" s="43"/>
    </row>
    <row r="656">
      <c r="T656" s="43"/>
    </row>
    <row r="657">
      <c r="T657" s="43"/>
    </row>
    <row r="658">
      <c r="T658" s="43"/>
    </row>
    <row r="659">
      <c r="T659" s="43"/>
    </row>
    <row r="660">
      <c r="T660" s="43"/>
    </row>
    <row r="661">
      <c r="T661" s="43"/>
    </row>
    <row r="662">
      <c r="T662" s="43"/>
    </row>
    <row r="663">
      <c r="T663" s="43"/>
    </row>
    <row r="664">
      <c r="T664" s="43"/>
    </row>
    <row r="665">
      <c r="T665" s="43"/>
    </row>
    <row r="666">
      <c r="T666" s="43"/>
    </row>
    <row r="667">
      <c r="T667" s="43"/>
    </row>
    <row r="668">
      <c r="T668" s="43"/>
    </row>
    <row r="669">
      <c r="T669" s="43"/>
    </row>
    <row r="670">
      <c r="T670" s="43"/>
    </row>
    <row r="671">
      <c r="T671" s="43"/>
    </row>
    <row r="672">
      <c r="T672" s="43"/>
    </row>
    <row r="673">
      <c r="T673" s="43"/>
    </row>
    <row r="674">
      <c r="T674" s="43"/>
    </row>
    <row r="675">
      <c r="T675" s="43"/>
    </row>
    <row r="676">
      <c r="T676" s="43"/>
    </row>
    <row r="677">
      <c r="T677" s="43"/>
    </row>
    <row r="678">
      <c r="T678" s="43"/>
    </row>
    <row r="679">
      <c r="T679" s="43"/>
    </row>
    <row r="680">
      <c r="T680" s="43"/>
    </row>
    <row r="681">
      <c r="T681" s="43"/>
    </row>
    <row r="682">
      <c r="T682" s="43"/>
    </row>
    <row r="683">
      <c r="T683" s="43"/>
    </row>
    <row r="684">
      <c r="T684" s="43"/>
    </row>
    <row r="685">
      <c r="T685" s="43"/>
    </row>
    <row r="686">
      <c r="T686" s="43"/>
    </row>
    <row r="687">
      <c r="T687" s="43"/>
    </row>
    <row r="688">
      <c r="T688" s="43"/>
    </row>
    <row r="689">
      <c r="T689" s="43"/>
    </row>
    <row r="690">
      <c r="T690" s="43"/>
    </row>
    <row r="691">
      <c r="T691" s="43"/>
    </row>
    <row r="692">
      <c r="T692" s="43"/>
    </row>
    <row r="693">
      <c r="T693" s="43"/>
    </row>
    <row r="694">
      <c r="T694" s="43"/>
    </row>
    <row r="695">
      <c r="T695" s="43"/>
    </row>
    <row r="696">
      <c r="T696" s="43"/>
    </row>
    <row r="697">
      <c r="T697" s="43"/>
    </row>
    <row r="698">
      <c r="T698" s="43"/>
    </row>
    <row r="699">
      <c r="T699" s="43"/>
    </row>
    <row r="700">
      <c r="T700" s="43"/>
    </row>
    <row r="701">
      <c r="T701" s="43"/>
    </row>
    <row r="702">
      <c r="T702" s="43"/>
    </row>
    <row r="703">
      <c r="T703" s="43"/>
    </row>
    <row r="704">
      <c r="T704" s="43"/>
    </row>
    <row r="705">
      <c r="T705" s="43"/>
    </row>
    <row r="706">
      <c r="T706" s="43"/>
    </row>
    <row r="707">
      <c r="T707" s="43"/>
    </row>
    <row r="708">
      <c r="T708" s="43"/>
    </row>
    <row r="709">
      <c r="T709" s="43"/>
    </row>
    <row r="710">
      <c r="T710" s="43"/>
    </row>
    <row r="711">
      <c r="T711" s="43"/>
    </row>
    <row r="712">
      <c r="T712" s="43"/>
    </row>
    <row r="713">
      <c r="T713" s="43"/>
    </row>
    <row r="714">
      <c r="T714" s="43"/>
    </row>
    <row r="715">
      <c r="T715" s="43"/>
    </row>
    <row r="716">
      <c r="T716" s="43"/>
    </row>
    <row r="717">
      <c r="T717" s="43"/>
    </row>
    <row r="718">
      <c r="T718" s="43"/>
    </row>
    <row r="719">
      <c r="T719" s="43"/>
    </row>
    <row r="720">
      <c r="T720" s="43"/>
    </row>
    <row r="721">
      <c r="T721" s="43"/>
    </row>
    <row r="722">
      <c r="T722" s="43"/>
    </row>
    <row r="723">
      <c r="T723" s="43"/>
    </row>
    <row r="724">
      <c r="T724" s="43"/>
    </row>
    <row r="725">
      <c r="T725" s="43"/>
    </row>
    <row r="726">
      <c r="T726" s="43"/>
    </row>
    <row r="727">
      <c r="T727" s="43"/>
    </row>
    <row r="728">
      <c r="T728" s="43"/>
    </row>
    <row r="729">
      <c r="T729" s="43"/>
    </row>
    <row r="730">
      <c r="T730" s="43"/>
    </row>
    <row r="731">
      <c r="T731" s="43"/>
    </row>
    <row r="732">
      <c r="T732" s="43"/>
    </row>
    <row r="733">
      <c r="T733" s="43"/>
    </row>
    <row r="734">
      <c r="T734" s="43"/>
    </row>
    <row r="735">
      <c r="T735" s="43"/>
    </row>
    <row r="736">
      <c r="T736" s="43"/>
    </row>
    <row r="737">
      <c r="T737" s="43"/>
    </row>
    <row r="738">
      <c r="T738" s="43"/>
    </row>
    <row r="739">
      <c r="T739" s="43"/>
    </row>
    <row r="740">
      <c r="T740" s="43"/>
    </row>
    <row r="741">
      <c r="T741" s="43"/>
    </row>
    <row r="742">
      <c r="T742" s="43"/>
    </row>
    <row r="743">
      <c r="T743" s="43"/>
    </row>
    <row r="744">
      <c r="T744" s="43"/>
    </row>
    <row r="745">
      <c r="T745" s="43"/>
    </row>
    <row r="746">
      <c r="T746" s="43"/>
    </row>
    <row r="747">
      <c r="T747" s="43"/>
    </row>
    <row r="748">
      <c r="T748" s="43"/>
    </row>
    <row r="749">
      <c r="T749" s="43"/>
    </row>
    <row r="750">
      <c r="T750" s="43"/>
    </row>
    <row r="751">
      <c r="T751" s="43"/>
    </row>
    <row r="752">
      <c r="T752" s="43"/>
    </row>
    <row r="753">
      <c r="T753" s="43"/>
    </row>
    <row r="754">
      <c r="T754" s="43"/>
    </row>
    <row r="755">
      <c r="T755" s="43"/>
    </row>
    <row r="756">
      <c r="T756" s="43"/>
    </row>
    <row r="757">
      <c r="T757" s="43"/>
    </row>
    <row r="758">
      <c r="T758" s="43"/>
    </row>
    <row r="759">
      <c r="T759" s="43"/>
    </row>
    <row r="760">
      <c r="T760" s="43"/>
    </row>
    <row r="761">
      <c r="T761" s="43"/>
    </row>
    <row r="762">
      <c r="T762" s="43"/>
    </row>
    <row r="763">
      <c r="T763" s="43"/>
    </row>
    <row r="764">
      <c r="T764" s="43"/>
    </row>
    <row r="765">
      <c r="T765" s="43"/>
    </row>
    <row r="766">
      <c r="T766" s="43"/>
    </row>
    <row r="767">
      <c r="T767" s="43"/>
    </row>
    <row r="768">
      <c r="T768" s="43"/>
    </row>
    <row r="769">
      <c r="T769" s="43"/>
    </row>
    <row r="770">
      <c r="T770" s="43"/>
    </row>
    <row r="771">
      <c r="T771" s="43"/>
    </row>
    <row r="772">
      <c r="T772" s="43"/>
    </row>
    <row r="773">
      <c r="T773" s="43"/>
    </row>
    <row r="774">
      <c r="T774" s="43"/>
    </row>
    <row r="775">
      <c r="T775" s="43"/>
    </row>
    <row r="776">
      <c r="T776" s="43"/>
    </row>
    <row r="777">
      <c r="T777" s="43"/>
    </row>
    <row r="778">
      <c r="T778" s="43"/>
    </row>
    <row r="779">
      <c r="T779" s="43"/>
    </row>
    <row r="780">
      <c r="T780" s="43"/>
    </row>
    <row r="781">
      <c r="T781" s="43"/>
    </row>
    <row r="782">
      <c r="T782" s="43"/>
    </row>
    <row r="783">
      <c r="T783" s="43"/>
    </row>
    <row r="784">
      <c r="T784" s="43"/>
    </row>
    <row r="785">
      <c r="T785" s="43"/>
    </row>
    <row r="786">
      <c r="T786" s="43"/>
    </row>
    <row r="787">
      <c r="T787" s="43"/>
    </row>
    <row r="788">
      <c r="T788" s="43"/>
    </row>
    <row r="789">
      <c r="T789" s="43"/>
    </row>
    <row r="790">
      <c r="T790" s="43"/>
    </row>
    <row r="791">
      <c r="T791" s="43"/>
    </row>
    <row r="792">
      <c r="T792" s="43"/>
    </row>
    <row r="793">
      <c r="T793" s="43"/>
    </row>
    <row r="794">
      <c r="T794" s="43"/>
    </row>
    <row r="795">
      <c r="T795" s="43"/>
    </row>
    <row r="796">
      <c r="T796" s="43"/>
    </row>
    <row r="797">
      <c r="T797" s="43"/>
    </row>
    <row r="798">
      <c r="T798" s="43"/>
    </row>
    <row r="799">
      <c r="T799" s="43"/>
    </row>
    <row r="800">
      <c r="T800" s="43"/>
    </row>
    <row r="801">
      <c r="T801" s="43"/>
    </row>
    <row r="802">
      <c r="T802" s="43"/>
    </row>
    <row r="803">
      <c r="T803" s="43"/>
    </row>
    <row r="804">
      <c r="T804" s="43"/>
    </row>
    <row r="805">
      <c r="T805" s="43"/>
    </row>
    <row r="806">
      <c r="T806" s="43"/>
    </row>
    <row r="807">
      <c r="T807" s="43"/>
    </row>
    <row r="808">
      <c r="T808" s="43"/>
    </row>
    <row r="809">
      <c r="T809" s="43"/>
    </row>
    <row r="810">
      <c r="T810" s="43"/>
    </row>
    <row r="811">
      <c r="T811" s="43"/>
    </row>
    <row r="812">
      <c r="T812" s="43"/>
    </row>
    <row r="813">
      <c r="T813" s="43"/>
    </row>
    <row r="814">
      <c r="T814" s="43"/>
    </row>
    <row r="815">
      <c r="T815" s="43"/>
    </row>
    <row r="816">
      <c r="T816" s="43"/>
    </row>
    <row r="817">
      <c r="T817" s="43"/>
    </row>
    <row r="818">
      <c r="T818" s="43"/>
    </row>
    <row r="819">
      <c r="T819" s="43"/>
    </row>
    <row r="820">
      <c r="T820" s="43"/>
    </row>
    <row r="821">
      <c r="T821" s="43"/>
    </row>
    <row r="822">
      <c r="T822" s="43"/>
    </row>
    <row r="823">
      <c r="T823" s="43"/>
    </row>
    <row r="824">
      <c r="T824" s="43"/>
    </row>
    <row r="825">
      <c r="T825" s="43"/>
    </row>
    <row r="826">
      <c r="T826" s="43"/>
    </row>
    <row r="827">
      <c r="T827" s="43"/>
    </row>
    <row r="828">
      <c r="T828" s="43"/>
    </row>
    <row r="829">
      <c r="T829" s="43"/>
    </row>
    <row r="830">
      <c r="T830" s="43"/>
    </row>
    <row r="831">
      <c r="T831" s="43"/>
    </row>
    <row r="832">
      <c r="T832" s="43"/>
    </row>
    <row r="833">
      <c r="T833" s="43"/>
    </row>
    <row r="834">
      <c r="T834" s="43"/>
    </row>
    <row r="835">
      <c r="T835" s="43"/>
    </row>
    <row r="836">
      <c r="T836" s="43"/>
    </row>
    <row r="837">
      <c r="T837" s="43"/>
    </row>
    <row r="838">
      <c r="T838" s="43"/>
    </row>
    <row r="839">
      <c r="T839" s="43"/>
    </row>
    <row r="840">
      <c r="T840" s="43"/>
    </row>
    <row r="841">
      <c r="T841" s="43"/>
    </row>
    <row r="842">
      <c r="T842" s="43"/>
    </row>
    <row r="843">
      <c r="T843" s="43"/>
    </row>
    <row r="844">
      <c r="T844" s="43"/>
    </row>
    <row r="845">
      <c r="T845" s="43"/>
    </row>
    <row r="846">
      <c r="T846" s="43"/>
    </row>
    <row r="847">
      <c r="T847" s="43"/>
    </row>
    <row r="848">
      <c r="T848" s="43"/>
    </row>
    <row r="849">
      <c r="T849" s="43"/>
    </row>
    <row r="850">
      <c r="T850" s="43"/>
    </row>
    <row r="851">
      <c r="T851" s="43"/>
    </row>
    <row r="852">
      <c r="T852" s="43"/>
    </row>
    <row r="853">
      <c r="T853" s="43"/>
    </row>
    <row r="854">
      <c r="T854" s="43"/>
    </row>
    <row r="855">
      <c r="T855" s="43"/>
    </row>
    <row r="856">
      <c r="T856" s="43"/>
    </row>
    <row r="857">
      <c r="T857" s="43"/>
    </row>
    <row r="858">
      <c r="T858" s="43"/>
    </row>
    <row r="859">
      <c r="T859" s="43"/>
    </row>
    <row r="860">
      <c r="T860" s="43"/>
    </row>
    <row r="861">
      <c r="T861" s="43"/>
    </row>
    <row r="862">
      <c r="T862" s="43"/>
    </row>
    <row r="863">
      <c r="T863" s="43"/>
    </row>
    <row r="864">
      <c r="T864" s="43"/>
    </row>
    <row r="865">
      <c r="T865" s="43"/>
    </row>
    <row r="866">
      <c r="T866" s="43"/>
    </row>
    <row r="867">
      <c r="T867" s="43"/>
    </row>
    <row r="868">
      <c r="T868" s="43"/>
    </row>
    <row r="869">
      <c r="T869" s="43"/>
    </row>
    <row r="870">
      <c r="T870" s="43"/>
    </row>
    <row r="871">
      <c r="T871" s="43"/>
    </row>
    <row r="872">
      <c r="T872" s="43"/>
    </row>
    <row r="873">
      <c r="T873" s="43"/>
    </row>
    <row r="874">
      <c r="T874" s="43"/>
    </row>
    <row r="875">
      <c r="T875" s="43"/>
    </row>
    <row r="876">
      <c r="T876" s="43"/>
    </row>
    <row r="877">
      <c r="T877" s="43"/>
    </row>
    <row r="878">
      <c r="T878" s="43"/>
    </row>
    <row r="879">
      <c r="T879" s="43"/>
    </row>
    <row r="880">
      <c r="T880" s="43"/>
    </row>
    <row r="881">
      <c r="T881" s="43"/>
    </row>
    <row r="882">
      <c r="T882" s="43"/>
    </row>
    <row r="883">
      <c r="T883" s="43"/>
    </row>
    <row r="884">
      <c r="T884" s="43"/>
    </row>
    <row r="885">
      <c r="T885" s="43"/>
    </row>
    <row r="886">
      <c r="T886" s="43"/>
    </row>
    <row r="887">
      <c r="T887" s="43"/>
    </row>
    <row r="888">
      <c r="T888" s="43"/>
    </row>
    <row r="889">
      <c r="T889" s="43"/>
    </row>
    <row r="890">
      <c r="T890" s="43"/>
    </row>
    <row r="891">
      <c r="T891" s="43"/>
    </row>
    <row r="892">
      <c r="T892" s="43"/>
    </row>
    <row r="893">
      <c r="T893" s="43"/>
    </row>
    <row r="894">
      <c r="T894" s="43"/>
    </row>
    <row r="895">
      <c r="T895" s="43"/>
    </row>
    <row r="896">
      <c r="T896" s="43"/>
    </row>
    <row r="897">
      <c r="T897" s="43"/>
    </row>
    <row r="898">
      <c r="T898" s="43"/>
    </row>
    <row r="899">
      <c r="T899" s="43"/>
    </row>
    <row r="900">
      <c r="T900" s="43"/>
    </row>
    <row r="901">
      <c r="T901" s="43"/>
    </row>
    <row r="902">
      <c r="T902" s="43"/>
    </row>
    <row r="903">
      <c r="T903" s="43"/>
    </row>
    <row r="904">
      <c r="T904" s="43"/>
    </row>
    <row r="905">
      <c r="T905" s="43"/>
    </row>
    <row r="906">
      <c r="T906" s="43"/>
    </row>
    <row r="907">
      <c r="T907" s="43"/>
    </row>
    <row r="908">
      <c r="T908" s="43"/>
    </row>
    <row r="909">
      <c r="T909" s="43"/>
    </row>
    <row r="910">
      <c r="T910" s="43"/>
    </row>
    <row r="911">
      <c r="T911" s="43"/>
    </row>
    <row r="912">
      <c r="T912" s="43"/>
    </row>
    <row r="913">
      <c r="T913" s="43"/>
    </row>
    <row r="914">
      <c r="T914" s="43"/>
    </row>
    <row r="915">
      <c r="T915" s="43"/>
    </row>
    <row r="916">
      <c r="T916" s="43"/>
    </row>
    <row r="917">
      <c r="T917" s="43"/>
    </row>
    <row r="918">
      <c r="T918" s="43"/>
    </row>
    <row r="919">
      <c r="T919" s="43"/>
    </row>
    <row r="920">
      <c r="T920" s="43"/>
    </row>
    <row r="921">
      <c r="T921" s="43"/>
    </row>
    <row r="922">
      <c r="T922" s="43"/>
    </row>
    <row r="923">
      <c r="T923" s="43"/>
    </row>
    <row r="924">
      <c r="T924" s="43"/>
    </row>
    <row r="925">
      <c r="T925" s="43"/>
    </row>
    <row r="926">
      <c r="T926" s="43"/>
    </row>
    <row r="927">
      <c r="T927" s="43"/>
    </row>
    <row r="928">
      <c r="T928" s="43"/>
    </row>
    <row r="929">
      <c r="T929" s="43"/>
    </row>
    <row r="930">
      <c r="T930" s="43"/>
    </row>
    <row r="931">
      <c r="T931" s="43"/>
    </row>
    <row r="932">
      <c r="T932" s="43"/>
    </row>
    <row r="933">
      <c r="T933" s="43"/>
    </row>
    <row r="934">
      <c r="T934" s="43"/>
    </row>
    <row r="935">
      <c r="T935" s="43"/>
    </row>
    <row r="936">
      <c r="T936" s="43"/>
    </row>
    <row r="937">
      <c r="T937" s="43"/>
    </row>
    <row r="938">
      <c r="T938" s="43"/>
    </row>
    <row r="939">
      <c r="T939" s="43"/>
    </row>
    <row r="940">
      <c r="T940" s="43"/>
    </row>
    <row r="941">
      <c r="T941" s="43"/>
    </row>
    <row r="942">
      <c r="T942" s="43"/>
    </row>
    <row r="943">
      <c r="T943" s="43"/>
    </row>
    <row r="944">
      <c r="T944" s="43"/>
    </row>
    <row r="945">
      <c r="T945" s="43"/>
    </row>
    <row r="946">
      <c r="T946" s="43"/>
    </row>
    <row r="947">
      <c r="T947" s="43"/>
    </row>
    <row r="948">
      <c r="T948" s="43"/>
    </row>
    <row r="949">
      <c r="T949" s="43"/>
    </row>
    <row r="950">
      <c r="T950" s="43"/>
    </row>
    <row r="951">
      <c r="T951" s="43"/>
    </row>
    <row r="952">
      <c r="T952" s="43"/>
    </row>
    <row r="953">
      <c r="T953" s="43"/>
    </row>
    <row r="954">
      <c r="T954" s="43"/>
    </row>
    <row r="955">
      <c r="T955" s="43"/>
    </row>
    <row r="956">
      <c r="T956" s="43"/>
    </row>
    <row r="957">
      <c r="T957" s="43"/>
    </row>
    <row r="958">
      <c r="T958" s="43"/>
    </row>
    <row r="959">
      <c r="T959" s="43"/>
    </row>
    <row r="960">
      <c r="T960" s="43"/>
    </row>
    <row r="961">
      <c r="T961" s="43"/>
    </row>
    <row r="962">
      <c r="T962" s="43"/>
    </row>
    <row r="963">
      <c r="T963" s="43"/>
    </row>
    <row r="964">
      <c r="T964" s="43"/>
    </row>
    <row r="965">
      <c r="T965" s="43"/>
    </row>
    <row r="966">
      <c r="T966" s="43"/>
    </row>
    <row r="967">
      <c r="T967" s="43"/>
    </row>
    <row r="968">
      <c r="T968" s="43"/>
    </row>
    <row r="969">
      <c r="T969" s="43"/>
    </row>
    <row r="970">
      <c r="T970" s="43"/>
    </row>
    <row r="971">
      <c r="T971" s="43"/>
    </row>
    <row r="972">
      <c r="T972" s="43"/>
    </row>
    <row r="973">
      <c r="T973" s="43"/>
    </row>
    <row r="974">
      <c r="T974" s="43"/>
    </row>
    <row r="975">
      <c r="T975" s="43"/>
    </row>
    <row r="976">
      <c r="T976" s="43"/>
    </row>
    <row r="977">
      <c r="T977" s="43"/>
    </row>
    <row r="978">
      <c r="T978" s="43"/>
    </row>
    <row r="979">
      <c r="T979" s="43"/>
    </row>
    <row r="980">
      <c r="T980" s="43"/>
    </row>
    <row r="981">
      <c r="T981" s="43"/>
    </row>
    <row r="982">
      <c r="T982" s="43"/>
    </row>
    <row r="983">
      <c r="T983" s="43"/>
    </row>
    <row r="984">
      <c r="T984" s="43"/>
    </row>
    <row r="985">
      <c r="T985" s="43"/>
    </row>
    <row r="986">
      <c r="T986" s="43"/>
    </row>
    <row r="987">
      <c r="T987" s="43"/>
    </row>
    <row r="988">
      <c r="T988" s="43"/>
    </row>
    <row r="989">
      <c r="T989" s="43"/>
    </row>
    <row r="990">
      <c r="T990" s="43"/>
    </row>
    <row r="991">
      <c r="T991" s="43"/>
    </row>
    <row r="992">
      <c r="T992" s="43"/>
    </row>
    <row r="993">
      <c r="T993" s="43"/>
    </row>
    <row r="994">
      <c r="T994" s="43"/>
    </row>
    <row r="995">
      <c r="T995" s="43"/>
    </row>
    <row r="996">
      <c r="T996" s="43"/>
    </row>
    <row r="997">
      <c r="T997" s="43"/>
    </row>
    <row r="998">
      <c r="T998" s="43"/>
    </row>
    <row r="999">
      <c r="T999" s="43"/>
    </row>
    <row r="1000">
      <c r="T1000" s="43"/>
    </row>
  </sheetData>
  <mergeCells count="6">
    <mergeCell ref="A3:H3"/>
    <mergeCell ref="K3:R3"/>
    <mergeCell ref="U3:AB3"/>
    <mergeCell ref="A4:H4"/>
    <mergeCell ref="K4:R4"/>
    <mergeCell ref="U4:AB4"/>
  </mergeCells>
  <drawing r:id="rId1"/>
</worksheet>
</file>